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80"/>
  </bookViews>
  <sheets>
    <sheet name="Disprz" sheetId="1" r:id="rId1"/>
    <sheet name="IND" sheetId="2" r:id="rId2"/>
    <sheet name="SEA" sheetId="3" r:id="rId3"/>
    <sheet name="KSA" sheetId="4" r:id="rId4"/>
    <sheet name="KSA - Old AOP" sheetId="5" r:id="rId5"/>
    <sheet name="RoM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<sst xmlns="http://schemas.openxmlformats.org/spreadsheetml/2006/main" count="1380" uniqueCount="91">
  <si>
    <t>Stage</t>
  </si>
  <si>
    <t>Region</t>
  </si>
  <si>
    <t>Timeline</t>
  </si>
  <si>
    <t>Won</t>
  </si>
  <si>
    <t>Contracting ($)</t>
  </si>
  <si>
    <t>Negotiation ($)</t>
  </si>
  <si>
    <t>Proposal ($)</t>
  </si>
  <si>
    <t>SQO ($)</t>
  </si>
  <si>
    <t>Demos (Deals)</t>
  </si>
  <si>
    <t>Disprz (All regions)</t>
  </si>
  <si>
    <t>Q1</t>
  </si>
  <si>
    <t>Q2</t>
  </si>
  <si>
    <t>Q3</t>
  </si>
  <si>
    <t>Q4</t>
  </si>
  <si>
    <t>FY25-26</t>
  </si>
  <si>
    <t>IND</t>
  </si>
  <si>
    <t>SEA</t>
  </si>
  <si>
    <t>KSA</t>
  </si>
  <si>
    <t>RoME</t>
  </si>
  <si>
    <t>IND AOP</t>
  </si>
  <si>
    <t>Conversion %</t>
  </si>
  <si>
    <t>Sales</t>
  </si>
  <si>
    <t>Marketing</t>
  </si>
  <si>
    <t>Partnership</t>
  </si>
  <si>
    <t>Farming</t>
  </si>
  <si>
    <t>Outbound</t>
  </si>
  <si>
    <t>Demo to SQO</t>
  </si>
  <si>
    <t>SQO to Proposal</t>
  </si>
  <si>
    <t>Proposal to Nego</t>
  </si>
  <si>
    <t>Nego to Contracting</t>
  </si>
  <si>
    <t>Contracting to Won</t>
  </si>
  <si>
    <t>Demo to Won</t>
  </si>
  <si>
    <t>Targets</t>
  </si>
  <si>
    <t>Total</t>
  </si>
  <si>
    <t>Note - 100k content target for Partnerships is outside this</t>
  </si>
  <si>
    <t>ACV</t>
  </si>
  <si>
    <t>No. of deals</t>
  </si>
  <si>
    <t>Contracting</t>
  </si>
  <si>
    <t>Negotiation</t>
  </si>
  <si>
    <t>Proposal</t>
  </si>
  <si>
    <t>SQO</t>
  </si>
  <si>
    <t>Demo</t>
  </si>
  <si>
    <t>Gross ARR</t>
  </si>
  <si>
    <t>Quarter splits</t>
  </si>
  <si>
    <t>SEA AOP</t>
  </si>
  <si>
    <t>SEA Total</t>
  </si>
  <si>
    <t>Final Closures (Won)</t>
  </si>
  <si>
    <t>AMJ'25</t>
  </si>
  <si>
    <t>JAS'25</t>
  </si>
  <si>
    <t>OND'25</t>
  </si>
  <si>
    <t>JFM'26</t>
  </si>
  <si>
    <t>FY'25-26</t>
  </si>
  <si>
    <t>Outbound/ BDR</t>
  </si>
  <si>
    <t>SE Asia 2025 - 26 PLAN</t>
  </si>
  <si>
    <t>MY + SG</t>
  </si>
  <si>
    <t>Outbound / BDR</t>
  </si>
  <si>
    <t>Indonesia</t>
  </si>
  <si>
    <t>Philippines</t>
  </si>
  <si>
    <t>Quarter Splits</t>
  </si>
  <si>
    <t>Conversion</t>
  </si>
  <si>
    <t>Proposal to BF</t>
  </si>
  <si>
    <t>Disprz</t>
  </si>
  <si>
    <t>Malaysia</t>
  </si>
  <si>
    <t>KSA AOP</t>
  </si>
  <si>
    <t>Quarter targets</t>
  </si>
  <si>
    <t>Sales + Outbound</t>
  </si>
  <si>
    <t>Outbound + Marketing</t>
  </si>
  <si>
    <t>-</t>
  </si>
  <si>
    <t>Channel Targets</t>
  </si>
  <si>
    <t>Advance</t>
  </si>
  <si>
    <t>BME</t>
  </si>
  <si>
    <t>Ravi</t>
  </si>
  <si>
    <t>D</t>
  </si>
  <si>
    <t>E</t>
  </si>
  <si>
    <t>F</t>
  </si>
  <si>
    <t>G</t>
  </si>
  <si>
    <t>H</t>
  </si>
  <si>
    <t>I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</si>
  <si>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</si>
  <si>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</si>
  <si>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</si>
  <si>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</si>
  <si>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</si>
  <si>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</si>
  <si>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</si>
  <si>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</si>
  <si>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</si>
  <si>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</si>
  <si>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</si>
  <si>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</si>
  <si>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RoME AOP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</si>
</sst>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%"/>
    <numFmt numFmtId="177" formatCode="&quot;$&quot;#,##0"/>
  </numFmts>
  <fonts count="32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9"/>
      <color rgb="FF444746"/>
      <name val="&quot;Google Sans&quot;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10"/>
      <name val="Arial"/>
      <charset val="134"/>
      <scheme val="minor"/>
    </font>
    <font>
      <sz val="10"/>
      <color rgb="FF000000"/>
      <name val="Roboto"/>
      <charset val="134"/>
    </font>
    <font>
      <b/>
      <sz val="10"/>
      <color theme="1"/>
      <name val="Mulish"/>
      <charset val="134"/>
    </font>
    <font>
      <sz val="10"/>
      <color theme="1"/>
      <name val="Mulish"/>
      <charset val="134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E5E5E5"/>
        <bgColor rgb="FFE5E5E5"/>
      </patternFill>
    </fill>
    <fill>
      <patternFill patternType="solid">
        <fgColor rgb="FFE9E9E9"/>
        <bgColor rgb="FFE9E9E9"/>
      </patternFill>
    </fill>
    <fill>
      <patternFill patternType="solid">
        <fgColor rgb="FFD9D9D9"/>
        <bgColor rgb="FFD9D9D9"/>
      </patternFill>
    </fill>
    <fill>
      <patternFill patternType="solid">
        <fgColor rgb="FFF8FAF8"/>
        <bgColor rgb="FFF8FAF8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4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5" borderId="14" applyNumberFormat="0" applyAlignment="0" applyProtection="0">
      <alignment vertical="center"/>
    </xf>
    <xf numFmtId="0" fontId="22" fillId="16" borderId="15" applyNumberFormat="0" applyAlignment="0" applyProtection="0">
      <alignment vertical="center"/>
    </xf>
    <xf numFmtId="0" fontId="23" fillId="16" borderId="14" applyNumberFormat="0" applyAlignment="0" applyProtection="0">
      <alignment vertical="center"/>
    </xf>
    <xf numFmtId="0" fontId="24" fillId="17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</cellStyleXfs>
  <cellXfs count="114">
    <xf numFmtId="0" fontId="0" fillId="0" borderId="0" xfId="0" applyFont="1" applyAlignment="1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/>
    <xf numFmtId="0" fontId="2" fillId="4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/>
    <xf numFmtId="0" fontId="1" fillId="7" borderId="0" xfId="0" applyFont="1" applyFill="1" applyAlignment="1"/>
    <xf numFmtId="176" fontId="1" fillId="0" borderId="0" xfId="0" applyNumberFormat="1" applyFont="1"/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77" fontId="1" fillId="0" borderId="1" xfId="0" applyNumberFormat="1" applyFont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  <xf numFmtId="9" fontId="1" fillId="8" borderId="0" xfId="0" applyNumberFormat="1" applyFont="1" applyFill="1"/>
    <xf numFmtId="1" fontId="1" fillId="0" borderId="1" xfId="0" applyNumberFormat="1" applyFont="1" applyBorder="1" applyAlignment="1">
      <alignment horizontal="center"/>
    </xf>
    <xf numFmtId="177" fontId="1" fillId="0" borderId="0" xfId="0" applyNumberFormat="1" applyFont="1"/>
    <xf numFmtId="177" fontId="2" fillId="0" borderId="1" xfId="0" applyNumberFormat="1" applyFont="1" applyBorder="1" applyAlignment="1">
      <alignment horizontal="center"/>
    </xf>
    <xf numFmtId="0" fontId="1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2" xfId="0" applyFont="1" applyFill="1" applyBorder="1" applyAlignment="1">
      <alignment horizontal="left"/>
    </xf>
    <xf numFmtId="0" fontId="5" fillId="9" borderId="3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left"/>
    </xf>
    <xf numFmtId="0" fontId="6" fillId="0" borderId="3" xfId="0" applyFont="1" applyBorder="1"/>
    <xf numFmtId="177" fontId="4" fillId="4" borderId="2" xfId="0" applyNumberFormat="1" applyFont="1" applyFill="1" applyBorder="1" applyAlignment="1">
      <alignment horizontal="center"/>
    </xf>
    <xf numFmtId="9" fontId="4" fillId="4" borderId="2" xfId="0" applyNumberFormat="1" applyFont="1" applyFill="1" applyBorder="1" applyAlignment="1">
      <alignment horizontal="center"/>
    </xf>
    <xf numFmtId="9" fontId="4" fillId="4" borderId="2" xfId="0" applyNumberFormat="1" applyFont="1" applyFill="1" applyBorder="1" applyAlignment="1">
      <alignment horizontal="right"/>
    </xf>
    <xf numFmtId="0" fontId="6" fillId="0" borderId="2" xfId="0" applyFont="1" applyBorder="1"/>
    <xf numFmtId="177" fontId="5" fillId="4" borderId="2" xfId="0" applyNumberFormat="1" applyFont="1" applyFill="1" applyBorder="1" applyAlignment="1">
      <alignment horizontal="center"/>
    </xf>
    <xf numFmtId="0" fontId="7" fillId="12" borderId="0" xfId="0" applyFont="1" applyFill="1"/>
    <xf numFmtId="0" fontId="1" fillId="0" borderId="0" xfId="0" applyFont="1" applyAlignment="1">
      <alignment horizontal="right"/>
    </xf>
    <xf numFmtId="10" fontId="1" fillId="0" borderId="0" xfId="0" applyNumberFormat="1" applyFont="1" applyAlignment="1">
      <alignment horizontal="right"/>
    </xf>
    <xf numFmtId="177" fontId="1" fillId="0" borderId="0" xfId="0" applyNumberFormat="1" applyFont="1" applyAlignment="1">
      <alignment horizontal="right"/>
    </xf>
    <xf numFmtId="176" fontId="1" fillId="0" borderId="0" xfId="0" applyNumberFormat="1" applyFont="1" applyAlignment="1"/>
    <xf numFmtId="9" fontId="1" fillId="0" borderId="0" xfId="0" applyNumberFormat="1" applyFont="1" applyAlignment="1">
      <alignment horizontal="right"/>
    </xf>
    <xf numFmtId="177" fontId="1" fillId="0" borderId="0" xfId="0" applyNumberFormat="1" applyFont="1" applyAlignment="1"/>
    <xf numFmtId="9" fontId="1" fillId="0" borderId="0" xfId="0" applyNumberFormat="1" applyFont="1" applyAlignment="1"/>
    <xf numFmtId="9" fontId="1" fillId="0" borderId="0" xfId="0" applyNumberFormat="1" applyFont="1" applyAlignment="1">
      <alignment horizontal="center"/>
    </xf>
    <xf numFmtId="9" fontId="1" fillId="0" borderId="1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3" fontId="8" fillId="0" borderId="5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8" fillId="0" borderId="9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9" fontId="9" fillId="2" borderId="1" xfId="0" applyNumberFormat="1" applyFont="1" applyFill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9" fontId="8" fillId="2" borderId="1" xfId="0" applyNumberFormat="1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9" fontId="9" fillId="2" borderId="10" xfId="0" applyNumberFormat="1" applyFont="1" applyFill="1" applyBorder="1" applyAlignment="1">
      <alignment horizontal="center" vertical="center"/>
    </xf>
    <xf numFmtId="9" fontId="8" fillId="2" borderId="2" xfId="0" applyNumberFormat="1" applyFont="1" applyFill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/>
    </xf>
    <xf numFmtId="9" fontId="1" fillId="8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11" borderId="0" xfId="0" applyFont="1" applyFill="1"/>
    <xf numFmtId="177" fontId="2" fillId="4" borderId="1" xfId="0" applyNumberFormat="1" applyFont="1" applyFill="1" applyBorder="1" applyAlignment="1">
      <alignment horizontal="center"/>
    </xf>
    <xf numFmtId="9" fontId="1" fillId="0" borderId="0" xfId="0" applyNumberFormat="1" applyFont="1"/>
    <xf numFmtId="9" fontId="2" fillId="4" borderId="1" xfId="0" applyNumberFormat="1" applyFont="1" applyFill="1" applyBorder="1" applyAlignment="1">
      <alignment horizontal="center"/>
    </xf>
    <xf numFmtId="1" fontId="1" fillId="0" borderId="0" xfId="0" applyNumberFormat="1" applyFont="1"/>
    <xf numFmtId="1" fontId="2" fillId="4" borderId="1" xfId="0" applyNumberFormat="1" applyFont="1" applyFill="1" applyBorder="1" applyAlignment="1">
      <alignment horizontal="center"/>
    </xf>
    <xf numFmtId="177" fontId="1" fillId="11" borderId="0" xfId="0" applyNumberFormat="1" applyFont="1" applyFill="1"/>
    <xf numFmtId="1" fontId="1" fillId="0" borderId="0" xfId="0" applyNumberFormat="1" applyFont="1" applyAlignment="1"/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0" fontId="6" fillId="0" borderId="8" xfId="0" applyFont="1" applyBorder="1"/>
    <xf numFmtId="0" fontId="11" fillId="0" borderId="0" xfId="0" applyFont="1" applyAlignment="1">
      <alignment horizontal="center" vertical="center"/>
    </xf>
    <xf numFmtId="0" fontId="6" fillId="0" borderId="6" xfId="0" applyFont="1" applyBorder="1"/>
    <xf numFmtId="0" fontId="11" fillId="0" borderId="1" xfId="0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0" fontId="6" fillId="0" borderId="7" xfId="0" applyFont="1" applyBorder="1"/>
    <xf numFmtId="0" fontId="6" fillId="0" borderId="9" xfId="0" applyFont="1" applyBorder="1"/>
    <xf numFmtId="1" fontId="10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44"/>
  <sheetViews>
    <sheetView tabSelected="1" workbookViewId="0">
      <selection activeCell="A1" sqref="A1"/>
    </sheetView>
  </sheetViews>
  <sheetFormatPr defaultColWidth="12.6339285714286" defaultRowHeight="15.75" customHeight="1"/>
  <cols>
    <col min="2" max="2" width="16.25" customWidth="1"/>
    <col min="5" max="5" width="12.8839285714286" customWidth="1"/>
    <col min="6" max="7" width="12.6339285714286" customWidth="1"/>
    <col min="9" max="9" width="12.6339285714286" customWidth="1"/>
  </cols>
  <sheetData>
    <row r="1" customHeight="1" spans="1:26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customHeight="1" spans="1:26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customHeight="1" spans="1:26">
      <c r="A3" s="99"/>
      <c r="B3" s="99"/>
      <c r="C3" s="99"/>
      <c r="D3" s="100" t="s">
        <v>0</v>
      </c>
      <c r="E3" s="110"/>
      <c r="F3" s="110"/>
      <c r="G3" s="110"/>
      <c r="H3" s="110"/>
      <c r="I3" s="111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customHeight="1" spans="1:26">
      <c r="A4" s="99"/>
      <c r="B4" s="101" t="s">
        <v>1</v>
      </c>
      <c r="C4" s="101" t="s">
        <v>2</v>
      </c>
      <c r="D4" s="102" t="s">
        <v>3</v>
      </c>
      <c r="E4" s="108" t="s">
        <v>4</v>
      </c>
      <c r="F4" s="108" t="s">
        <v>5</v>
      </c>
      <c r="G4" s="108" t="s">
        <v>6</v>
      </c>
      <c r="H4" s="108" t="s">
        <v>7</v>
      </c>
      <c r="I4" s="108" t="s">
        <v>8</v>
      </c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customHeight="1" spans="1:26">
      <c r="A5" s="99"/>
      <c r="B5" s="103" t="s">
        <v>9</v>
      </c>
      <c r="C5" s="101" t="s">
        <v>10</v>
      </c>
      <c r="D5" s="104">
        <f t="shared" ref="D5:I5" si="0">D10+D15+D20+D25</f>
        <v>835000</v>
      </c>
      <c r="E5" s="104">
        <f t="shared" si="0"/>
        <v>928842.842333158</v>
      </c>
      <c r="F5" s="104">
        <f t="shared" si="0"/>
        <v>1350324.5531828</v>
      </c>
      <c r="G5" s="104">
        <f t="shared" si="0"/>
        <v>2859227.40102006</v>
      </c>
      <c r="H5" s="104">
        <f t="shared" si="0"/>
        <v>4860067.7348109</v>
      </c>
      <c r="I5" s="112">
        <f t="shared" si="0"/>
        <v>596.929905848526</v>
      </c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customHeight="1" spans="1:26">
      <c r="A6" s="99"/>
      <c r="B6" s="105"/>
      <c r="C6" s="101" t="s">
        <v>11</v>
      </c>
      <c r="D6" s="104">
        <f t="shared" ref="D6:I6" si="1">D11+D16+D21+D26</f>
        <v>905000</v>
      </c>
      <c r="E6" s="104">
        <f t="shared" si="1"/>
        <v>1010285.92458484</v>
      </c>
      <c r="F6" s="104">
        <f t="shared" si="1"/>
        <v>1458063.22109294</v>
      </c>
      <c r="G6" s="104">
        <f t="shared" si="1"/>
        <v>3100182.81801239</v>
      </c>
      <c r="H6" s="104">
        <f t="shared" si="1"/>
        <v>5322187.44964025</v>
      </c>
      <c r="I6" s="112">
        <f t="shared" si="1"/>
        <v>652.021021613733</v>
      </c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customHeight="1" spans="1:26">
      <c r="A7" s="99"/>
      <c r="B7" s="105"/>
      <c r="C7" s="101" t="s">
        <v>12</v>
      </c>
      <c r="D7" s="104">
        <f t="shared" ref="D7:I7" si="2">D12+D17+D22+D27</f>
        <v>985000</v>
      </c>
      <c r="E7" s="104">
        <f t="shared" si="2"/>
        <v>1094789.43791125</v>
      </c>
      <c r="F7" s="104">
        <f t="shared" si="2"/>
        <v>1614889.10263517</v>
      </c>
      <c r="G7" s="104">
        <f t="shared" si="2"/>
        <v>3438437.5510631</v>
      </c>
      <c r="H7" s="104">
        <f t="shared" si="2"/>
        <v>5847158.32513372</v>
      </c>
      <c r="I7" s="112">
        <f t="shared" si="2"/>
        <v>715.586464401431</v>
      </c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customHeight="1" spans="1:26">
      <c r="A8" s="99"/>
      <c r="B8" s="105"/>
      <c r="C8" s="101" t="s">
        <v>13</v>
      </c>
      <c r="D8" s="104">
        <f t="shared" ref="D8:I8" si="3">D13+D18+D23+D28</f>
        <v>1075000</v>
      </c>
      <c r="E8" s="104">
        <f t="shared" si="3"/>
        <v>1210053.52904722</v>
      </c>
      <c r="F8" s="104">
        <f t="shared" si="3"/>
        <v>1772570.35824013</v>
      </c>
      <c r="G8" s="104">
        <f t="shared" si="3"/>
        <v>3799799.12342258</v>
      </c>
      <c r="H8" s="104">
        <f t="shared" si="3"/>
        <v>6517136.62362539</v>
      </c>
      <c r="I8" s="112">
        <f t="shared" si="3"/>
        <v>789.054542025104</v>
      </c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customHeight="1" spans="1:26">
      <c r="A9" s="106"/>
      <c r="B9" s="107"/>
      <c r="C9" s="108" t="s">
        <v>14</v>
      </c>
      <c r="D9" s="109">
        <f t="shared" ref="D9:I9" si="4">D14+D19+D24+D29</f>
        <v>3800000</v>
      </c>
      <c r="E9" s="109">
        <f t="shared" si="4"/>
        <v>4243971.73387647</v>
      </c>
      <c r="F9" s="109">
        <f t="shared" si="4"/>
        <v>6195847.23515103</v>
      </c>
      <c r="G9" s="109">
        <f t="shared" si="4"/>
        <v>13197646.8935181</v>
      </c>
      <c r="H9" s="109">
        <f t="shared" si="4"/>
        <v>22546550.1332102</v>
      </c>
      <c r="I9" s="113">
        <f t="shared" si="4"/>
        <v>2753.59193388879</v>
      </c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customHeight="1" spans="1:26">
      <c r="A10" s="99"/>
      <c r="B10" s="103" t="s">
        <v>15</v>
      </c>
      <c r="C10" s="101" t="s">
        <v>10</v>
      </c>
      <c r="D10" s="15">
        <v>375000</v>
      </c>
      <c r="E10" s="104">
        <v>417087</v>
      </c>
      <c r="F10" s="104">
        <v>558056</v>
      </c>
      <c r="G10" s="104">
        <v>1146503</v>
      </c>
      <c r="H10" s="104">
        <v>1957068</v>
      </c>
      <c r="I10" s="101">
        <v>239</v>
      </c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customHeight="1" spans="1:26">
      <c r="A11" s="99"/>
      <c r="B11" s="105"/>
      <c r="C11" s="101" t="s">
        <v>11</v>
      </c>
      <c r="D11" s="15">
        <v>375000</v>
      </c>
      <c r="E11" s="104">
        <v>417087</v>
      </c>
      <c r="F11" s="104">
        <v>558056</v>
      </c>
      <c r="G11" s="104">
        <v>1146503</v>
      </c>
      <c r="H11" s="104">
        <v>1957068</v>
      </c>
      <c r="I11" s="101">
        <v>239</v>
      </c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customHeight="1" spans="1:26">
      <c r="A12" s="99"/>
      <c r="B12" s="105"/>
      <c r="C12" s="101" t="s">
        <v>12</v>
      </c>
      <c r="D12" s="15">
        <v>375000</v>
      </c>
      <c r="E12" s="104">
        <v>417087</v>
      </c>
      <c r="F12" s="104">
        <v>558056</v>
      </c>
      <c r="G12" s="104">
        <v>1146503</v>
      </c>
      <c r="H12" s="104">
        <v>1957068</v>
      </c>
      <c r="I12" s="101">
        <v>239</v>
      </c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customHeight="1" spans="1:26">
      <c r="A13" s="99"/>
      <c r="B13" s="105"/>
      <c r="C13" s="101" t="s">
        <v>13</v>
      </c>
      <c r="D13" s="15">
        <v>375000</v>
      </c>
      <c r="E13" s="104">
        <v>417087</v>
      </c>
      <c r="F13" s="104">
        <v>558056</v>
      </c>
      <c r="G13" s="104">
        <v>1146503</v>
      </c>
      <c r="H13" s="104">
        <v>1957068</v>
      </c>
      <c r="I13" s="101">
        <v>239</v>
      </c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customHeight="1" spans="1:26">
      <c r="A14" s="106"/>
      <c r="B14" s="107"/>
      <c r="C14" s="108" t="s">
        <v>14</v>
      </c>
      <c r="D14" s="109">
        <f t="shared" ref="D14:I14" si="5">SUM(D10:D13)</f>
        <v>1500000</v>
      </c>
      <c r="E14" s="109">
        <f t="shared" si="5"/>
        <v>1668348</v>
      </c>
      <c r="F14" s="109">
        <f t="shared" si="5"/>
        <v>2232224</v>
      </c>
      <c r="G14" s="109">
        <f t="shared" si="5"/>
        <v>4586012</v>
      </c>
      <c r="H14" s="109">
        <f t="shared" si="5"/>
        <v>7828272</v>
      </c>
      <c r="I14" s="108">
        <f t="shared" si="5"/>
        <v>956</v>
      </c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customHeight="1" spans="1:26">
      <c r="A15" s="99"/>
      <c r="B15" s="103" t="s">
        <v>16</v>
      </c>
      <c r="C15" s="101" t="s">
        <v>10</v>
      </c>
      <c r="D15" s="15">
        <v>250000</v>
      </c>
      <c r="E15" s="104">
        <f>SEA!I75</f>
        <v>284210</v>
      </c>
      <c r="F15" s="104">
        <f>SEA!I76</f>
        <v>509511</v>
      </c>
      <c r="G15" s="104">
        <f>SEA!I77</f>
        <v>1030409</v>
      </c>
      <c r="H15" s="104">
        <f>SEA!I78</f>
        <v>1382954</v>
      </c>
      <c r="I15" s="112">
        <f>SEA!I70</f>
        <v>213</v>
      </c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customHeight="1" spans="1:26">
      <c r="A16" s="99"/>
      <c r="B16" s="105"/>
      <c r="C16" s="101" t="s">
        <v>11</v>
      </c>
      <c r="D16" s="15">
        <v>275000</v>
      </c>
      <c r="E16" s="104">
        <f>SEA!I92</f>
        <v>316555</v>
      </c>
      <c r="F16" s="104">
        <f>SEA!I93</f>
        <v>556582</v>
      </c>
      <c r="G16" s="104">
        <f>SEA!I94</f>
        <v>1127960</v>
      </c>
      <c r="H16" s="104">
        <f>SEA!I95</f>
        <v>1525349</v>
      </c>
      <c r="I16" s="112">
        <f>SEA!I87</f>
        <v>238</v>
      </c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customHeight="1" spans="1:26">
      <c r="A17" s="99"/>
      <c r="B17" s="105"/>
      <c r="C17" s="101" t="s">
        <v>12</v>
      </c>
      <c r="D17" s="15">
        <v>325000</v>
      </c>
      <c r="E17" s="104">
        <f>SEA!I110</f>
        <v>369905</v>
      </c>
      <c r="F17" s="104">
        <f>SEA!I111</f>
        <v>673321</v>
      </c>
      <c r="G17" s="104">
        <f>SEA!I112</f>
        <v>1357517</v>
      </c>
      <c r="H17" s="104">
        <f>SEA!I113</f>
        <v>1809173</v>
      </c>
      <c r="I17" s="112">
        <f>SEA!I105</f>
        <v>277</v>
      </c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customHeight="1" spans="1:26">
      <c r="A18" s="99"/>
      <c r="B18" s="105"/>
      <c r="C18" s="101" t="s">
        <v>13</v>
      </c>
      <c r="D18" s="15">
        <v>350000</v>
      </c>
      <c r="E18" s="104">
        <f>SEA!I128</f>
        <v>415302</v>
      </c>
      <c r="F18" s="104">
        <f>SEA!I129</f>
        <v>743610</v>
      </c>
      <c r="G18" s="104">
        <f>SEA!I130</f>
        <v>1503009</v>
      </c>
      <c r="H18" s="104">
        <f>SEA!I131</f>
        <v>1998662</v>
      </c>
      <c r="I18" s="112">
        <f>SEA!I123</f>
        <v>304</v>
      </c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customHeight="1" spans="1:26">
      <c r="A19" s="106"/>
      <c r="B19" s="107"/>
      <c r="C19" s="108" t="s">
        <v>14</v>
      </c>
      <c r="D19" s="20">
        <f t="shared" ref="D19:I19" si="6">SUM(D15:D18)</f>
        <v>1200000</v>
      </c>
      <c r="E19" s="20">
        <f t="shared" si="6"/>
        <v>1385972</v>
      </c>
      <c r="F19" s="20">
        <f t="shared" si="6"/>
        <v>2483024</v>
      </c>
      <c r="G19" s="20">
        <f t="shared" si="6"/>
        <v>5018895</v>
      </c>
      <c r="H19" s="20">
        <f t="shared" si="6"/>
        <v>6716138</v>
      </c>
      <c r="I19" s="113">
        <f t="shared" si="6"/>
        <v>1032</v>
      </c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customHeight="1" spans="1:26">
      <c r="A20" s="99"/>
      <c r="B20" s="103" t="s">
        <v>17</v>
      </c>
      <c r="C20" s="101" t="s">
        <v>10</v>
      </c>
      <c r="D20" s="15">
        <v>100000</v>
      </c>
      <c r="E20" s="104">
        <f>KSA!K43</f>
        <v>113316.293469652</v>
      </c>
      <c r="F20" s="104">
        <f>KSA!K44</f>
        <v>135772.320861311</v>
      </c>
      <c r="G20" s="104">
        <f>KSA!K45</f>
        <v>283757.046500784</v>
      </c>
      <c r="H20" s="104">
        <f>KSA!K46</f>
        <v>635840.524668195</v>
      </c>
      <c r="I20" s="112">
        <f>KSA!K55</f>
        <v>54.8566156269656</v>
      </c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customHeight="1" spans="1:26">
      <c r="A21" s="99"/>
      <c r="B21" s="105"/>
      <c r="C21" s="101" t="s">
        <v>11</v>
      </c>
      <c r="D21" s="15">
        <v>125000</v>
      </c>
      <c r="E21" s="104">
        <f>KSA!K61</f>
        <v>141645.366837065</v>
      </c>
      <c r="F21" s="104">
        <f>KSA!K62</f>
        <v>169715.401076639</v>
      </c>
      <c r="G21" s="104">
        <f>KSA!K63</f>
        <v>354696.308125979</v>
      </c>
      <c r="H21" s="104">
        <f>KSA!K64</f>
        <v>794800.655835243</v>
      </c>
      <c r="I21" s="112">
        <f>KSA!K73</f>
        <v>68.570769533707</v>
      </c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customHeight="1" spans="1:26">
      <c r="A22" s="99"/>
      <c r="B22" s="105"/>
      <c r="C22" s="101" t="s">
        <v>12</v>
      </c>
      <c r="D22" s="15">
        <v>125000</v>
      </c>
      <c r="E22" s="104">
        <f>KSA!K78</f>
        <v>141645.366837065</v>
      </c>
      <c r="F22" s="104">
        <f>KSA!K79</f>
        <v>169715.401076639</v>
      </c>
      <c r="G22" s="104">
        <f>KSA!K80</f>
        <v>354696.308125979</v>
      </c>
      <c r="H22" s="104">
        <f>KSA!K81</f>
        <v>794800.655835243</v>
      </c>
      <c r="I22" s="112">
        <f>KSA!K90</f>
        <v>68.570769533707</v>
      </c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customHeight="1" spans="1:26">
      <c r="A23" s="99"/>
      <c r="B23" s="105"/>
      <c r="C23" s="101" t="s">
        <v>13</v>
      </c>
      <c r="D23" s="15">
        <v>150000</v>
      </c>
      <c r="E23" s="104">
        <f>KSA!K95</f>
        <v>169974.440204478</v>
      </c>
      <c r="F23" s="104">
        <f>KSA!K96</f>
        <v>203658.481291966</v>
      </c>
      <c r="G23" s="104">
        <f>KSA!K97</f>
        <v>425635.569751175</v>
      </c>
      <c r="H23" s="104">
        <f>KSA!K98</f>
        <v>953760.787002292</v>
      </c>
      <c r="I23" s="112">
        <f>KSA!K107</f>
        <v>82.2849234404484</v>
      </c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customHeight="1" spans="1:26">
      <c r="A24" s="106"/>
      <c r="B24" s="107"/>
      <c r="C24" s="108" t="s">
        <v>14</v>
      </c>
      <c r="D24" s="109">
        <f t="shared" ref="D24:I24" si="7">SUM(D20:D23)</f>
        <v>500000</v>
      </c>
      <c r="E24" s="109">
        <f t="shared" si="7"/>
        <v>566581.467348261</v>
      </c>
      <c r="F24" s="109">
        <f t="shared" si="7"/>
        <v>678861.604306555</v>
      </c>
      <c r="G24" s="109">
        <f t="shared" si="7"/>
        <v>1418785.23250392</v>
      </c>
      <c r="H24" s="109">
        <f t="shared" si="7"/>
        <v>3179202.62334097</v>
      </c>
      <c r="I24" s="113">
        <f t="shared" si="7"/>
        <v>274.283078134828</v>
      </c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customHeight="1" spans="1:26">
      <c r="A25" s="99"/>
      <c r="B25" s="103" t="s">
        <v>18</v>
      </c>
      <c r="C25" s="101" t="s">
        <v>10</v>
      </c>
      <c r="D25" s="15">
        <v>110000</v>
      </c>
      <c r="E25" s="104">
        <f>RoME!I43</f>
        <v>114229.548863505</v>
      </c>
      <c r="F25" s="104">
        <f>RoME!I44</f>
        <v>146985.232321488</v>
      </c>
      <c r="G25" s="104">
        <f>RoME!I45</f>
        <v>398558.354519272</v>
      </c>
      <c r="H25" s="104">
        <f>RoME!I46</f>
        <v>884205.210142701</v>
      </c>
      <c r="I25" s="112">
        <f>RoME!I55</f>
        <v>90.0732902215604</v>
      </c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customHeight="1" spans="1:26">
      <c r="A26" s="99"/>
      <c r="B26" s="105"/>
      <c r="C26" s="101" t="s">
        <v>11</v>
      </c>
      <c r="D26" s="15">
        <v>130000</v>
      </c>
      <c r="E26" s="104">
        <f>RoME!I61</f>
        <v>134998.557747779</v>
      </c>
      <c r="F26" s="104">
        <f>RoME!I62</f>
        <v>173709.820016304</v>
      </c>
      <c r="G26" s="104">
        <f>RoME!I63</f>
        <v>471023.509886413</v>
      </c>
      <c r="H26" s="104">
        <f>RoME!I64</f>
        <v>1044969.79380501</v>
      </c>
      <c r="I26" s="112">
        <f>RoME!I73</f>
        <v>106.450252080026</v>
      </c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customHeight="1" spans="1:26">
      <c r="A27" s="99"/>
      <c r="B27" s="105"/>
      <c r="C27" s="101" t="s">
        <v>12</v>
      </c>
      <c r="D27" s="15">
        <v>160000</v>
      </c>
      <c r="E27" s="104">
        <f>RoME!I78</f>
        <v>166152.071074189</v>
      </c>
      <c r="F27" s="104">
        <f>RoME!I79</f>
        <v>213796.701558528</v>
      </c>
      <c r="G27" s="104">
        <f>RoME!I80</f>
        <v>579721.242937123</v>
      </c>
      <c r="H27" s="104">
        <f>RoME!I81</f>
        <v>1286116.66929847</v>
      </c>
      <c r="I27" s="112">
        <f>RoME!I90</f>
        <v>131.015694867724</v>
      </c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customHeight="1" spans="1:26">
      <c r="A28" s="99"/>
      <c r="B28" s="105"/>
      <c r="C28" s="101" t="s">
        <v>13</v>
      </c>
      <c r="D28" s="15">
        <v>200000</v>
      </c>
      <c r="E28" s="104">
        <f>RoME!I95</f>
        <v>207690.088842737</v>
      </c>
      <c r="F28" s="104">
        <f>RoME!I96</f>
        <v>267245.87694816</v>
      </c>
      <c r="G28" s="104">
        <f>RoME!I97</f>
        <v>724651.553671404</v>
      </c>
      <c r="H28" s="104">
        <f>RoME!I98</f>
        <v>1607645.83662309</v>
      </c>
      <c r="I28" s="112">
        <f>RoME!I107</f>
        <v>163.769618584655</v>
      </c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customHeight="1" spans="1:26">
      <c r="A29" s="106"/>
      <c r="B29" s="107"/>
      <c r="C29" s="108" t="s">
        <v>14</v>
      </c>
      <c r="D29" s="109">
        <f t="shared" ref="D29:I29" si="8">SUM(D25:D28)</f>
        <v>600000</v>
      </c>
      <c r="E29" s="109">
        <f t="shared" si="8"/>
        <v>623070.26652821</v>
      </c>
      <c r="F29" s="109">
        <f t="shared" si="8"/>
        <v>801737.630844479</v>
      </c>
      <c r="G29" s="109">
        <f t="shared" si="8"/>
        <v>2173954.66101421</v>
      </c>
      <c r="H29" s="109">
        <f t="shared" si="8"/>
        <v>4822937.50986928</v>
      </c>
      <c r="I29" s="113">
        <f t="shared" si="8"/>
        <v>491.308855753966</v>
      </c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customHeight="1" spans="1:26">
      <c r="A30" s="99"/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customHeight="1" spans="1:26">
      <c r="A31" s="99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customHeight="1" spans="1:26">
      <c r="A32" s="99"/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customHeight="1" spans="1:26">
      <c r="A33" s="99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customHeight="1" spans="1:26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customHeight="1" spans="1:26">
      <c r="A35" s="99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customHeight="1" spans="1:26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customHeight="1" spans="1:26">
      <c r="A37" s="99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customHeight="1" spans="1:26">
      <c r="A38" s="99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customHeight="1" spans="1:26">
      <c r="A39" s="99"/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customHeight="1" spans="1:26">
      <c r="A40" s="99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customHeight="1" spans="1:26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customHeight="1" spans="1:26">
      <c r="A42" s="99"/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customHeight="1" spans="1:26">
      <c r="A43" s="99"/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customHeight="1" spans="1:26">
      <c r="A44" s="99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customHeight="1" spans="1:26">
      <c r="A45" s="99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customHeight="1" spans="1:26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customHeight="1" spans="1:26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customHeight="1" spans="1:26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customHeight="1" spans="1:26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customHeight="1" spans="1:26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customHeight="1" spans="1:26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customHeight="1" spans="1:26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customHeight="1" spans="1:26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customHeight="1" spans="1:26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customHeight="1" spans="1:26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customHeight="1" spans="1:26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customHeight="1" spans="1:26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customHeight="1" spans="1:26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customHeight="1" spans="1:26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customHeight="1" spans="1:26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customHeight="1" spans="1:26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customHeight="1" spans="1:26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customHeight="1" spans="1:26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customHeight="1" spans="1:26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customHeight="1" spans="1:26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customHeight="1" spans="1:26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customHeight="1" spans="1:26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customHeight="1" spans="1:26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customHeight="1" spans="1:26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customHeight="1" spans="1:26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customHeight="1" spans="1:26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customHeight="1" spans="1:26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customHeight="1" spans="1:26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customHeight="1" spans="1:26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customHeight="1" spans="1:26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customHeight="1" spans="1:26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customHeight="1" spans="1:26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customHeight="1" spans="1:26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customHeight="1" spans="1:26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customHeight="1" spans="1:26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customHeight="1" spans="1:26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customHeight="1" spans="1:26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customHeight="1" spans="1:26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customHeight="1" spans="1:26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customHeight="1" spans="1:26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customHeight="1" spans="1:26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customHeight="1" spans="1:26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customHeight="1" spans="1:26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customHeight="1" spans="1:26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customHeight="1" spans="1:26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customHeight="1" spans="1:26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customHeight="1" spans="1:26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customHeight="1" spans="1:26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customHeight="1" spans="1:26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customHeight="1" spans="1:26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customHeight="1" spans="1:26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customHeight="1" spans="1:26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customHeight="1" spans="1:26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customHeight="1" spans="1:26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customHeight="1" spans="1:26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customHeight="1" spans="1:26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customHeight="1" spans="1:26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customHeight="1" spans="1:26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customHeight="1" spans="1:26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customHeight="1" spans="1:26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customHeight="1" spans="1:26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customHeight="1" spans="1:26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customHeight="1" spans="1:26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customHeight="1" spans="1:26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customHeight="1" spans="1:26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customHeight="1" spans="1:26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customHeight="1" spans="1:26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customHeight="1" spans="1:26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customHeight="1" spans="1:26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customHeight="1" spans="1:26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customHeight="1" spans="1:26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customHeight="1" spans="1:26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customHeight="1" spans="1:26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customHeight="1" spans="1:26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customHeight="1" spans="1:26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customHeight="1" spans="1:26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customHeight="1" spans="1:26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customHeight="1" spans="1:26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customHeight="1" spans="1:26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customHeight="1" spans="1:26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customHeight="1" spans="1:26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customHeight="1" spans="1:26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customHeight="1" spans="1:26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customHeight="1" spans="1:26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customHeight="1" spans="1:26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customHeight="1" spans="1:26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customHeight="1" spans="1:26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customHeight="1" spans="1:26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customHeight="1" spans="1:26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customHeight="1" spans="1:26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customHeight="1" spans="1:26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customHeight="1" spans="1:26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customHeight="1" spans="1:26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customHeight="1" spans="1:26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customHeight="1" spans="1:26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customHeight="1" spans="1:26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customHeight="1" spans="1:26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customHeight="1" spans="1:26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customHeight="1" spans="1:26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customHeight="1" spans="1:26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customHeight="1" spans="1:26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customHeight="1" spans="1:26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customHeight="1" spans="1:26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customHeight="1" spans="1:26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customHeight="1" spans="1:26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customHeight="1" spans="1:26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customHeight="1" spans="1:26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customHeight="1" spans="1:26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customHeight="1" spans="1:26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customHeight="1" spans="1:26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customHeight="1" spans="1:26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customHeight="1" spans="1:26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customHeight="1" spans="1:26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customHeight="1" spans="1:26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customHeight="1" spans="1:26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customHeight="1" spans="1:26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customHeight="1" spans="1:26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customHeight="1" spans="1:26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customHeight="1" spans="1:26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customHeight="1" spans="1:26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customHeight="1" spans="1:26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customHeight="1" spans="1:26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customHeight="1" spans="1:26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customHeight="1" spans="1:26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customHeight="1" spans="1:26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customHeight="1" spans="1:26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customHeight="1" spans="1:26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customHeight="1" spans="1:26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customHeight="1" spans="1:26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customHeight="1" spans="1:26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customHeight="1" spans="1:26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customHeight="1" spans="1:26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customHeight="1" spans="1:26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customHeight="1" spans="1:26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customHeight="1" spans="1:26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customHeight="1" spans="1:26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customHeight="1" spans="1:26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customHeight="1" spans="1:26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customHeight="1" spans="1:26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customHeight="1" spans="1:26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customHeight="1" spans="1:26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customHeight="1" spans="1:26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customHeight="1" spans="1:26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customHeight="1" spans="1:26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customHeight="1" spans="1:26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customHeight="1" spans="1:26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customHeight="1" spans="1:26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customHeight="1" spans="1:26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customHeight="1" spans="1:26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customHeight="1" spans="1:26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customHeight="1" spans="1:26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customHeight="1" spans="1:26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customHeight="1" spans="1:26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customHeight="1" spans="1:26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customHeight="1" spans="1:26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customHeight="1" spans="1:26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customHeight="1" spans="1:26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customHeight="1" spans="1:26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customHeight="1" spans="1:26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customHeight="1" spans="1:26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customHeight="1" spans="1:26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customHeight="1" spans="1:26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customHeight="1" spans="1:26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customHeight="1" spans="1:26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customHeight="1" spans="1:26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customHeight="1" spans="1:26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customHeight="1" spans="1:26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customHeight="1" spans="1:26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customHeight="1" spans="1:26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customHeight="1" spans="1:26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customHeight="1" spans="1:26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customHeight="1" spans="1:26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customHeight="1" spans="1:26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customHeight="1" spans="1:26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customHeight="1" spans="1:26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customHeight="1" spans="1:26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customHeight="1" spans="1:26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customHeight="1" spans="1:26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customHeight="1" spans="1:26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customHeight="1" spans="1:26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customHeight="1" spans="1:26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customHeight="1" spans="1:26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customHeight="1" spans="1:26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customHeight="1" spans="1:26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customHeight="1" spans="1:26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customHeight="1" spans="1:26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customHeight="1" spans="1:26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customHeight="1" spans="1:26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customHeight="1" spans="1:26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customHeight="1" spans="1:26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customHeight="1" spans="1:26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customHeight="1" spans="1:26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customHeight="1" spans="1:26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customHeight="1" spans="1:26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customHeight="1" spans="1:26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customHeight="1" spans="1:26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customHeight="1" spans="1:26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customHeight="1" spans="1:26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customHeight="1" spans="1:26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customHeight="1" spans="1:26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customHeight="1" spans="1:26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customHeight="1" spans="1:26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customHeight="1" spans="1:26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customHeight="1" spans="1:26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customHeight="1" spans="1:26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customHeight="1" spans="1:26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customHeight="1" spans="1:26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customHeight="1" spans="1:26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customHeight="1" spans="1:26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customHeight="1" spans="1:26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customHeight="1" spans="1:26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customHeight="1" spans="1:26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customHeight="1" spans="1:26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customHeight="1" spans="1:26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customHeight="1" spans="1:26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customHeight="1" spans="1:26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customHeight="1" spans="1:26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customHeight="1" spans="1:26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customHeight="1" spans="1:26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customHeight="1" spans="1:26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customHeight="1" spans="1:26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customHeight="1" spans="1:26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customHeight="1" spans="1:26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customHeight="1" spans="1:26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customHeight="1" spans="1:26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customHeight="1" spans="1:26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customHeight="1" spans="1:26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customHeight="1" spans="1:26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customHeight="1" spans="1:26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customHeight="1" spans="1:26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customHeight="1" spans="1:26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customHeight="1" spans="1:26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customHeight="1" spans="1:26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customHeight="1" spans="1:26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customHeight="1" spans="1:26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customHeight="1" spans="1:26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customHeight="1" spans="1:26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customHeight="1" spans="1:26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customHeight="1" spans="1:26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customHeight="1" spans="1:26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customHeight="1" spans="1:26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customHeight="1" spans="1:26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customHeight="1" spans="1:26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customHeight="1" spans="1:26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customHeight="1" spans="1:26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customHeight="1" spans="1:26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customHeight="1" spans="1:26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customHeight="1" spans="1:26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customHeight="1" spans="1:26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customHeight="1" spans="1:26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customHeight="1" spans="1:26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customHeight="1" spans="1:26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customHeight="1" spans="1:26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customHeight="1" spans="1:26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customHeight="1" spans="1:26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customHeight="1" spans="1:26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customHeight="1" spans="1:26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customHeight="1" spans="1:26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customHeight="1" spans="1:26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customHeight="1" spans="1:26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customHeight="1" spans="1:26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customHeight="1" spans="1:26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customHeight="1" spans="1:26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customHeight="1" spans="1:26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customHeight="1" spans="1:26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customHeight="1" spans="1:26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customHeight="1" spans="1:26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customHeight="1" spans="1:26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customHeight="1" spans="1:26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customHeight="1" spans="1:26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customHeight="1" spans="1:26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customHeight="1" spans="1:26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customHeight="1" spans="1:26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customHeight="1" spans="1:26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customHeight="1" spans="1:26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customHeight="1" spans="1:26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customHeight="1" spans="1:26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customHeight="1" spans="1:26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customHeight="1" spans="1:26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customHeight="1" spans="1:26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customHeight="1" spans="1:26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customHeight="1" spans="1:26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customHeight="1" spans="1:26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customHeight="1" spans="1:26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customHeight="1" spans="1:26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customHeight="1" spans="1:26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customHeight="1" spans="1:26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customHeight="1" spans="1:26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customHeight="1" spans="1:26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customHeight="1" spans="1:26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customHeight="1" spans="1:26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customHeight="1" spans="1:26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customHeight="1" spans="1:26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customHeight="1" spans="1:26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customHeight="1" spans="1:26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customHeight="1" spans="1:26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customHeight="1" spans="1:26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customHeight="1" spans="1:26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customHeight="1" spans="1:26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customHeight="1" spans="1:26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customHeight="1" spans="1:26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customHeight="1" spans="1:26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customHeight="1" spans="1:26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customHeight="1" spans="1:26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customHeight="1" spans="1:26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customHeight="1" spans="1:26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customHeight="1" spans="1:26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customHeight="1" spans="1:26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customHeight="1" spans="1:26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customHeight="1" spans="1:26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customHeight="1" spans="1:26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customHeight="1" spans="1:26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customHeight="1" spans="1:26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customHeight="1" spans="1:26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customHeight="1" spans="1:26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customHeight="1" spans="1:26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customHeight="1" spans="1:26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customHeight="1" spans="1:26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customHeight="1" spans="1:26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customHeight="1" spans="1:26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customHeight="1" spans="1:26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customHeight="1" spans="1:26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customHeight="1" spans="1:26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customHeight="1" spans="1:26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customHeight="1" spans="1:26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customHeight="1" spans="1:26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customHeight="1" spans="1:26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customHeight="1" spans="1:26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customHeight="1" spans="1:26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customHeight="1" spans="1:26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customHeight="1" spans="1:26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customHeight="1" spans="1:26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customHeight="1" spans="1:26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customHeight="1" spans="1:26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customHeight="1" spans="1:26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customHeight="1" spans="1:26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customHeight="1" spans="1:26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customHeight="1" spans="1:26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customHeight="1" spans="1:26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customHeight="1" spans="1:26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customHeight="1" spans="1:26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customHeight="1" spans="1:26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customHeight="1" spans="1:26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customHeight="1" spans="1:26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customHeight="1" spans="1:26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customHeight="1" spans="1:26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customHeight="1" spans="1:26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customHeight="1" spans="1:26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customHeight="1" spans="1:26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customHeight="1" spans="1:26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customHeight="1" spans="1:26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customHeight="1" spans="1:26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customHeight="1" spans="1:26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customHeight="1" spans="1:26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customHeight="1" spans="1:26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customHeight="1" spans="1:26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customHeight="1" spans="1:26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customHeight="1" spans="1:26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customHeight="1" spans="1:26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customHeight="1" spans="1:26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customHeight="1" spans="1:26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customHeight="1" spans="1:26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customHeight="1" spans="1:26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customHeight="1" spans="1:26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customHeight="1" spans="1:26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customHeight="1" spans="1:26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customHeight="1" spans="1:26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customHeight="1" spans="1:26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customHeight="1" spans="1:26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customHeight="1" spans="1:26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customHeight="1" spans="1:26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customHeight="1" spans="1:26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customHeight="1" spans="1:26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customHeight="1" spans="1:26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customHeight="1" spans="1:26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customHeight="1" spans="1:26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customHeight="1" spans="1:26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customHeight="1" spans="1:26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customHeight="1" spans="1:26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customHeight="1" spans="1:26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customHeight="1" spans="1:26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customHeight="1" spans="1:26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customHeight="1" spans="1:26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customHeight="1" spans="1:26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customHeight="1" spans="1:26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customHeight="1" spans="1:26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customHeight="1" spans="1:26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customHeight="1" spans="1:26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customHeight="1" spans="1:26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customHeight="1" spans="1:26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customHeight="1" spans="1:26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customHeight="1" spans="1:26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customHeight="1" spans="1:26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customHeight="1" spans="1:26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customHeight="1" spans="1:26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customHeight="1" spans="1:26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customHeight="1" spans="1:26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customHeight="1" spans="1:26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customHeight="1" spans="1:26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customHeight="1" spans="1:26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customHeight="1" spans="1:26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customHeight="1" spans="1:26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customHeight="1" spans="1:26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customHeight="1" spans="1:26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customHeight="1" spans="1:26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customHeight="1" spans="1:26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customHeight="1" spans="1:26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customHeight="1" spans="1:26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customHeight="1" spans="1:26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customHeight="1" spans="1:26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customHeight="1" spans="1:26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customHeight="1" spans="1:26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customHeight="1" spans="1:26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customHeight="1" spans="1:26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customHeight="1" spans="1:26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customHeight="1" spans="1:26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customHeight="1" spans="1:26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customHeight="1" spans="1:26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customHeight="1" spans="1:26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customHeight="1" spans="1:26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customHeight="1" spans="1:26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customHeight="1" spans="1:26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customHeight="1" spans="1:26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customHeight="1" spans="1:26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customHeight="1" spans="1:26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customHeight="1" spans="1:26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customHeight="1" spans="1:26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customHeight="1" spans="1:26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customHeight="1" spans="1:26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customHeight="1" spans="1:26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customHeight="1" spans="1:26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customHeight="1" spans="1:26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customHeight="1" spans="1:26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customHeight="1" spans="1:26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customHeight="1" spans="1:26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customHeight="1" spans="1:26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customHeight="1" spans="1:26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customHeight="1" spans="1:26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customHeight="1" spans="1:26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customHeight="1" spans="1:26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customHeight="1" spans="1:26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customHeight="1" spans="1:26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customHeight="1" spans="1:26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customHeight="1" spans="1:26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customHeight="1" spans="1:26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customHeight="1" spans="1:26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customHeight="1" spans="1:26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customHeight="1" spans="1:26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customHeight="1" spans="1:26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customHeight="1" spans="1:26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customHeight="1" spans="1:26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customHeight="1" spans="1:26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customHeight="1" spans="1:26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customHeight="1" spans="1:26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customHeight="1" spans="1:26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customHeight="1" spans="1:26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customHeight="1" spans="1:26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customHeight="1" spans="1:26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customHeight="1" spans="1:26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customHeight="1" spans="1:26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customHeight="1" spans="1:26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customHeight="1" spans="1:26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customHeight="1" spans="1:26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customHeight="1" spans="1:26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customHeight="1" spans="1:26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customHeight="1" spans="1:26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customHeight="1" spans="1:26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customHeight="1" spans="1:26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customHeight="1" spans="1:26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customHeight="1" spans="1:26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customHeight="1" spans="1:26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customHeight="1" spans="1:26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customHeight="1" spans="1:26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customHeight="1" spans="1:26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customHeight="1" spans="1:26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customHeight="1" spans="1:26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customHeight="1" spans="1:26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customHeight="1" spans="1:26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customHeight="1" spans="1:26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customHeight="1" spans="1:26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customHeight="1" spans="1:26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customHeight="1" spans="1:26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customHeight="1" spans="1:26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customHeight="1" spans="1:26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customHeight="1" spans="1:26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customHeight="1" spans="1:26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customHeight="1" spans="1:26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customHeight="1" spans="1:26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customHeight="1" spans="1:26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customHeight="1" spans="1:26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customHeight="1" spans="1:26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customHeight="1" spans="1:26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customHeight="1" spans="1:26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customHeight="1" spans="1:26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customHeight="1" spans="1:26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customHeight="1" spans="1:26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customHeight="1" spans="1:26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customHeight="1" spans="1:26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customHeight="1" spans="1:26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customHeight="1" spans="1:26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customHeight="1" spans="1:26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customHeight="1" spans="1:26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customHeight="1" spans="1:26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customHeight="1" spans="1:26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customHeight="1" spans="1:26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customHeight="1" spans="1:26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customHeight="1" spans="1:26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customHeight="1" spans="1:26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customHeight="1" spans="1:26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customHeight="1" spans="1:26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customHeight="1" spans="1:26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customHeight="1" spans="1:26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customHeight="1" spans="1:26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customHeight="1" spans="1:26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customHeight="1" spans="1:26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customHeight="1" spans="1:26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customHeight="1" spans="1:26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customHeight="1" spans="1:26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customHeight="1" spans="1:26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customHeight="1" spans="1:26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customHeight="1" spans="1:26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customHeight="1" spans="1:26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customHeight="1" spans="1:26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customHeight="1" spans="1:26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customHeight="1" spans="1:26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customHeight="1" spans="1:26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customHeight="1" spans="1:26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customHeight="1" spans="1:26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customHeight="1" spans="1:26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customHeight="1" spans="1:26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customHeight="1" spans="1:26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customHeight="1" spans="1:26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customHeight="1" spans="1:26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customHeight="1" spans="1:26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customHeight="1" spans="1:26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customHeight="1" spans="1:26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customHeight="1" spans="1:26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customHeight="1" spans="1:26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customHeight="1" spans="1:26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customHeight="1" spans="1:26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customHeight="1" spans="1:26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customHeight="1" spans="1:26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customHeight="1" spans="1:26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customHeight="1" spans="1:26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customHeight="1" spans="1:26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customHeight="1" spans="1:26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customHeight="1" spans="1:26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customHeight="1" spans="1:26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customHeight="1" spans="1:26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customHeight="1" spans="1:26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customHeight="1" spans="1:26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customHeight="1" spans="1:26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customHeight="1" spans="1:26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customHeight="1" spans="1:26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customHeight="1" spans="1:26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customHeight="1" spans="1:26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customHeight="1" spans="1:26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customHeight="1" spans="1:26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customHeight="1" spans="1:26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customHeight="1" spans="1:26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customHeight="1" spans="1:26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customHeight="1" spans="1:26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customHeight="1" spans="1:26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customHeight="1" spans="1:26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customHeight="1" spans="1:26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customHeight="1" spans="1:26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customHeight="1" spans="1:26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customHeight="1" spans="1:26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customHeight="1" spans="1:26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customHeight="1" spans="1:26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customHeight="1" spans="1:26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customHeight="1" spans="1:26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customHeight="1" spans="1:26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customHeight="1" spans="1:26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customHeight="1" spans="1:26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customHeight="1" spans="1:26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customHeight="1" spans="1:26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customHeight="1" spans="1:26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customHeight="1" spans="1:26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customHeight="1" spans="1:26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customHeight="1" spans="1:26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customHeight="1" spans="1:26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customHeight="1" spans="1:26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customHeight="1" spans="1:26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customHeight="1" spans="1:26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customHeight="1" spans="1:26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customHeight="1" spans="1:26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customHeight="1" spans="1:26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customHeight="1" spans="1:26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customHeight="1" spans="1:26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customHeight="1" spans="1:26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customHeight="1" spans="1:26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customHeight="1" spans="1:26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customHeight="1" spans="1:26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customHeight="1" spans="1:26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customHeight="1" spans="1:26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customHeight="1" spans="1:26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customHeight="1" spans="1:26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customHeight="1" spans="1:26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customHeight="1" spans="1:26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customHeight="1" spans="1:26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customHeight="1" spans="1:26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customHeight="1" spans="1:26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customHeight="1" spans="1:26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customHeight="1" spans="1:26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customHeight="1" spans="1:26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customHeight="1" spans="1:26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customHeight="1" spans="1:26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customHeight="1" spans="1:26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customHeight="1" spans="1:26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customHeight="1" spans="1:26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customHeight="1" spans="1:26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customHeight="1" spans="1:26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customHeight="1" spans="1:26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customHeight="1" spans="1:26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customHeight="1" spans="1:26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customHeight="1" spans="1:26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customHeight="1" spans="1:26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customHeight="1" spans="1:26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customHeight="1" spans="1:26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customHeight="1" spans="1:26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customHeight="1" spans="1:26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customHeight="1" spans="1:26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customHeight="1" spans="1:26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customHeight="1" spans="1:26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customHeight="1" spans="1:26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customHeight="1" spans="1:26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customHeight="1" spans="1:26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customHeight="1" spans="1:26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customHeight="1" spans="1:26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customHeight="1" spans="1:26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customHeight="1" spans="1:26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customHeight="1" spans="1:26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customHeight="1" spans="1:26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customHeight="1" spans="1:26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customHeight="1" spans="1:26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customHeight="1" spans="1:26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customHeight="1" spans="1:26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customHeight="1" spans="1:26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customHeight="1" spans="1:26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customHeight="1" spans="1:26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customHeight="1" spans="1:26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customHeight="1" spans="1:26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customHeight="1" spans="1:26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customHeight="1" spans="1:26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customHeight="1" spans="1:26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customHeight="1" spans="1:26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customHeight="1" spans="1:26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customHeight="1" spans="1:26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customHeight="1" spans="1:26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customHeight="1" spans="1:26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customHeight="1" spans="1:26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customHeight="1" spans="1:26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customHeight="1" spans="1:26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customHeight="1" spans="1:26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customHeight="1" spans="1:26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customHeight="1" spans="1:26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customHeight="1" spans="1:26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customHeight="1" spans="1:26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customHeight="1" spans="1:26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customHeight="1" spans="1:26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customHeight="1" spans="1:26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customHeight="1" spans="1:26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customHeight="1" spans="1:26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customHeight="1" spans="1:26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customHeight="1" spans="1:26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customHeight="1" spans="1:26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customHeight="1" spans="1:26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customHeight="1" spans="1:26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customHeight="1" spans="1:26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customHeight="1" spans="1:26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customHeight="1" spans="1:26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customHeight="1" spans="1:26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customHeight="1" spans="1:26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customHeight="1" spans="1:26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customHeight="1" spans="1:26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customHeight="1" spans="1:26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customHeight="1" spans="1:26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customHeight="1" spans="1:26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customHeight="1" spans="1:26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customHeight="1" spans="1:26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customHeight="1" spans="1:26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customHeight="1" spans="1:26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customHeight="1" spans="1:26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customHeight="1" spans="1:26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customHeight="1" spans="1:26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customHeight="1" spans="1:26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customHeight="1" spans="1:26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customHeight="1" spans="1:26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customHeight="1" spans="1:26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customHeight="1" spans="1:26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customHeight="1" spans="1:26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customHeight="1" spans="1:26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customHeight="1" spans="1:26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customHeight="1" spans="1:26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customHeight="1" spans="1:26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customHeight="1" spans="1:26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customHeight="1" spans="1:26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customHeight="1" spans="1:26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customHeight="1" spans="1:26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customHeight="1" spans="1:26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customHeight="1" spans="1:26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customHeight="1" spans="1:26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customHeight="1" spans="1:26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customHeight="1" spans="1:26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customHeight="1" spans="1:26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customHeight="1" spans="1:26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customHeight="1" spans="1:26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customHeight="1" spans="1:26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customHeight="1" spans="1:26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customHeight="1" spans="1:26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customHeight="1" spans="1:26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customHeight="1" spans="1:26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customHeight="1" spans="1:26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customHeight="1" spans="1:26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customHeight="1" spans="1:26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customHeight="1" spans="1:26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customHeight="1" spans="1:26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customHeight="1" spans="1:26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customHeight="1" spans="1:26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customHeight="1" spans="1:26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customHeight="1" spans="1:26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customHeight="1" spans="1:26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customHeight="1" spans="1:26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customHeight="1" spans="1:26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customHeight="1" spans="1:26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customHeight="1" spans="1:26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customHeight="1" spans="1:26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customHeight="1" spans="1:26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customHeight="1" spans="1:26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customHeight="1" spans="1:26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customHeight="1" spans="1:26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customHeight="1" spans="1:26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customHeight="1" spans="1:26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customHeight="1" spans="1:26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customHeight="1" spans="1:26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customHeight="1" spans="1:26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customHeight="1" spans="1:26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customHeight="1" spans="1:26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customHeight="1" spans="1:26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customHeight="1" spans="1:26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customHeight="1" spans="1:26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customHeight="1" spans="1:26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customHeight="1" spans="1:26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customHeight="1" spans="1:26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customHeight="1" spans="1:26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customHeight="1" spans="1:26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customHeight="1" spans="1:26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customHeight="1" spans="1:26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customHeight="1" spans="1:26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customHeight="1" spans="1:26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customHeight="1" spans="1:26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customHeight="1" spans="1:26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customHeight="1" spans="1:26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customHeight="1" spans="1:26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customHeight="1" spans="1:26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customHeight="1" spans="1:26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customHeight="1" spans="1:26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customHeight="1" spans="1:26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customHeight="1" spans="1:26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customHeight="1" spans="1:26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customHeight="1" spans="1:26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customHeight="1" spans="1:26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customHeight="1" spans="1:26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customHeight="1" spans="1:26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customHeight="1" spans="1:26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customHeight="1" spans="1:26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customHeight="1" spans="1:26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customHeight="1" spans="1:26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customHeight="1" spans="1:26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customHeight="1" spans="1:26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customHeight="1" spans="1:26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customHeight="1" spans="1:26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customHeight="1" spans="1:26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customHeight="1" spans="1:26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 customHeight="1" spans="1:26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 customHeight="1" spans="1:26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customHeight="1" spans="1:26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 customHeight="1" spans="1:26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customHeight="1" spans="1:26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 customHeight="1" spans="1:26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customHeight="1" spans="1:26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customHeight="1" spans="1:26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customHeight="1" spans="1:26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 customHeight="1" spans="1:26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customHeight="1" spans="1:26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customHeight="1" spans="1:26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 customHeight="1" spans="1:26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customHeight="1" spans="1:26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 customHeight="1" spans="1:26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 customHeight="1" spans="1:26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customHeight="1" spans="1:26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 customHeight="1" spans="1:26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 customHeight="1" spans="1:26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 customHeight="1" spans="1:26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 customHeight="1" spans="1:26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 customHeight="1" spans="1:26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 customHeight="1" spans="1:26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customHeight="1" spans="1:26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 customHeight="1" spans="1:26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customHeight="1" spans="1:26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 customHeight="1" spans="1:26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 customHeight="1" spans="1:26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 customHeight="1" spans="1:26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customHeight="1" spans="1:26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 customHeight="1" spans="1:26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 customHeight="1" spans="1:26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 customHeight="1" spans="1:26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 customHeight="1" spans="1:26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 customHeight="1" spans="1:26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 customHeight="1" spans="1:26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customHeight="1" spans="1:26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customHeight="1" spans="1:26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customHeight="1" spans="1:26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 customHeight="1" spans="1:26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 customHeight="1" spans="1:26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 customHeight="1" spans="1:26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 customHeight="1" spans="1:26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customHeight="1" spans="1:26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 customHeight="1" spans="1:26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 customHeight="1" spans="1:26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customHeight="1" spans="1:26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customHeight="1" spans="1:26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customHeight="1" spans="1:26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customHeight="1" spans="1:26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customHeight="1" spans="1:26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 customHeight="1" spans="1:26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customHeight="1" spans="1:26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customHeight="1" spans="1:26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customHeight="1" spans="1:26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 customHeight="1" spans="1:26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customHeight="1" spans="1:26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customHeight="1" spans="1:26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customHeight="1" spans="1:26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customHeight="1" spans="1:26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customHeight="1" spans="1:26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 customHeight="1" spans="1:26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customHeight="1" spans="1:26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customHeight="1" spans="1:26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 customHeight="1" spans="1:26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 customHeight="1" spans="1:26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 customHeight="1" spans="1:26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 customHeight="1" spans="1:26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 customHeight="1" spans="1:26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customHeight="1" spans="1:26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 customHeight="1" spans="1:26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 customHeight="1" spans="1:26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customHeight="1" spans="1:26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customHeight="1" spans="1:26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customHeight="1" spans="1:26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customHeight="1" spans="1:26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 customHeight="1" spans="1:26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 customHeight="1" spans="1:26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 customHeight="1" spans="1:26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customHeight="1" spans="1:26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 customHeight="1" spans="1:26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 customHeight="1" spans="1:26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 customHeight="1" spans="1:26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 customHeight="1" spans="1:26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 customHeight="1" spans="1:26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 customHeight="1" spans="1:26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 customHeight="1" spans="1:26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 customHeight="1" spans="1:26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 customHeight="1" spans="1:26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 customHeight="1" spans="1:26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 customHeight="1" spans="1:26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 customHeight="1" spans="1:26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 customHeight="1" spans="1:26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 customHeight="1" spans="1:26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 customHeight="1" spans="1:26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 customHeight="1" spans="1:26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 customHeight="1" spans="1:26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 customHeight="1" spans="1:26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 customHeight="1" spans="1:26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 customHeight="1" spans="1:26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 customHeight="1" spans="1:26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 customHeight="1" spans="1:26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 customHeight="1" spans="1:26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 customHeight="1" spans="1:26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 customHeight="1" spans="1:26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 customHeight="1" spans="1:26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 customHeight="1" spans="1:26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 customHeight="1" spans="1:26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 customHeight="1" spans="1:26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 customHeight="1" spans="1:26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 customHeight="1" spans="1:26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 customHeight="1" spans="1:26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 customHeight="1" spans="1:26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 customHeight="1" spans="1:26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 customHeight="1" spans="1:26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 customHeight="1" spans="1:26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 customHeight="1" spans="1:26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 customHeight="1" spans="1:26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 customHeight="1" spans="1:26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 customHeight="1" spans="1:26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 customHeight="1" spans="1:26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 customHeight="1" spans="1:26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 customHeight="1" spans="1:26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 customHeight="1" spans="1:26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</sheetData>
  <mergeCells count="6">
    <mergeCell ref="D3:I3"/>
    <mergeCell ref="B5:B9"/>
    <mergeCell ref="B10:B14"/>
    <mergeCell ref="B15:B19"/>
    <mergeCell ref="B20:B24"/>
    <mergeCell ref="B25:B2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A1004"/>
  <sheetViews>
    <sheetView workbookViewId="0">
      <selection activeCell="A1" sqref="A1"/>
    </sheetView>
  </sheetViews>
  <sheetFormatPr defaultColWidth="12.6339285714286" defaultRowHeight="15.75" customHeight="1"/>
  <cols>
    <col min="4" max="4" width="17" customWidth="1"/>
    <col min="5" max="5" width="15.25" customWidth="1"/>
  </cols>
  <sheetData>
    <row r="1" customHeight="1" spans="1:27">
      <c r="A1" s="1"/>
      <c r="B1" s="1"/>
      <c r="C1" s="1"/>
      <c r="D1" s="2" t="s">
        <v>19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Height="1" spans="1:2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customHeight="1" spans="1:2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customHeight="1" spans="1:27">
      <c r="A4" s="1"/>
      <c r="B4" s="1"/>
      <c r="C4" s="14" t="s">
        <v>20</v>
      </c>
      <c r="D4" s="6" t="s">
        <v>0</v>
      </c>
      <c r="E4" s="92" t="s">
        <v>21</v>
      </c>
      <c r="F4" s="92" t="s">
        <v>22</v>
      </c>
      <c r="G4" s="92" t="s">
        <v>23</v>
      </c>
      <c r="H4" s="92" t="s">
        <v>24</v>
      </c>
      <c r="I4" s="92" t="s">
        <v>25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customHeight="1" spans="1:27">
      <c r="A5" s="1"/>
      <c r="B5" s="1"/>
      <c r="C5" s="1"/>
      <c r="D5" s="6" t="s">
        <v>26</v>
      </c>
      <c r="E5" s="16">
        <v>0.7</v>
      </c>
      <c r="F5" s="16">
        <v>0.4</v>
      </c>
      <c r="G5" s="16">
        <v>0.5154</v>
      </c>
      <c r="H5" s="16">
        <v>0.96</v>
      </c>
      <c r="I5" s="16">
        <v>0.37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customHeight="1" spans="1:27">
      <c r="A6" s="1"/>
      <c r="B6" s="1"/>
      <c r="C6" s="1"/>
      <c r="D6" s="6" t="s">
        <v>27</v>
      </c>
      <c r="E6" s="16">
        <v>0.7966</v>
      </c>
      <c r="F6" s="16">
        <v>0.6</v>
      </c>
      <c r="G6" s="16">
        <v>0.597</v>
      </c>
      <c r="H6" s="16">
        <v>1</v>
      </c>
      <c r="I6" s="16">
        <v>0.4303</v>
      </c>
      <c r="J6" s="93">
        <f>F6*F7*F8*F9</f>
        <v>0.1833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customHeight="1" spans="1:27">
      <c r="A7" s="1"/>
      <c r="B7" s="1"/>
      <c r="C7" s="1"/>
      <c r="D7" s="6" t="s">
        <v>28</v>
      </c>
      <c r="E7" s="16">
        <v>0.4681</v>
      </c>
      <c r="F7" s="16">
        <v>0.47</v>
      </c>
      <c r="G7" s="16">
        <v>0.55</v>
      </c>
      <c r="H7" s="16">
        <v>0.863</v>
      </c>
      <c r="I7" s="16">
        <v>0.34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customHeight="1" spans="1:27">
      <c r="A8" s="1"/>
      <c r="B8" s="1"/>
      <c r="C8" s="1"/>
      <c r="D8" s="6" t="s">
        <v>29</v>
      </c>
      <c r="E8" s="16">
        <v>0.64</v>
      </c>
      <c r="F8" s="16">
        <v>0.65</v>
      </c>
      <c r="G8" s="16">
        <v>0.8182</v>
      </c>
      <c r="H8" s="16">
        <v>0.9841</v>
      </c>
      <c r="I8" s="16">
        <v>0.65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customHeight="1" spans="1:27">
      <c r="A9" s="1"/>
      <c r="B9" s="1"/>
      <c r="C9" s="1"/>
      <c r="D9" s="6" t="s">
        <v>30</v>
      </c>
      <c r="E9" s="16">
        <v>1</v>
      </c>
      <c r="F9" s="16">
        <v>1</v>
      </c>
      <c r="G9" s="16">
        <v>0.6667</v>
      </c>
      <c r="H9" s="16">
        <v>0.9355</v>
      </c>
      <c r="I9" s="16">
        <v>0.95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customHeight="1" spans="1:27">
      <c r="A10" s="1"/>
      <c r="B10" s="1"/>
      <c r="C10" s="1"/>
      <c r="D10" s="6" t="s">
        <v>31</v>
      </c>
      <c r="E10" s="17">
        <f t="shared" ref="E10:I10" si="0">E5*E6*E7*E8*E9</f>
        <v>0.16705403008</v>
      </c>
      <c r="F10" s="17">
        <f t="shared" si="0"/>
        <v>0.07332</v>
      </c>
      <c r="G10" s="17">
        <f t="shared" si="0"/>
        <v>0.0923148068015646</v>
      </c>
      <c r="H10" s="17">
        <f t="shared" si="0"/>
        <v>0.762719855664</v>
      </c>
      <c r="I10" s="17">
        <f t="shared" si="0"/>
        <v>0.03342634945</v>
      </c>
      <c r="J10" s="93">
        <f>I7*I8*I9</f>
        <v>0.20995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customHeight="1" spans="1:27">
      <c r="A11" s="1"/>
      <c r="B11" s="1"/>
      <c r="C11" s="1"/>
      <c r="D11" s="7" t="s">
        <v>14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customHeight="1" spans="1:27">
      <c r="A12" s="1"/>
      <c r="B12" s="1"/>
      <c r="C12" s="1"/>
      <c r="D12" s="1"/>
      <c r="E12" s="93"/>
      <c r="F12" s="93"/>
      <c r="G12" s="93"/>
      <c r="H12" s="93"/>
      <c r="I12" s="9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customHeight="1" spans="1:27">
      <c r="A13" s="1"/>
      <c r="B13" s="1"/>
      <c r="C13" s="1"/>
      <c r="D13" s="6" t="s">
        <v>32</v>
      </c>
      <c r="E13" s="94" t="s">
        <v>21</v>
      </c>
      <c r="F13" s="94" t="s">
        <v>22</v>
      </c>
      <c r="G13" s="94" t="s">
        <v>23</v>
      </c>
      <c r="H13" s="94" t="s">
        <v>24</v>
      </c>
      <c r="I13" s="94" t="s">
        <v>25</v>
      </c>
      <c r="J13" s="8" t="s">
        <v>33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customHeight="1" spans="1:27">
      <c r="A14" s="90" t="s">
        <v>34</v>
      </c>
      <c r="B14" s="1"/>
      <c r="C14" s="1"/>
      <c r="D14" s="4" t="s">
        <v>14</v>
      </c>
      <c r="E14" s="15">
        <v>310000</v>
      </c>
      <c r="F14" s="15">
        <v>240000</v>
      </c>
      <c r="G14" s="15">
        <v>250000</v>
      </c>
      <c r="H14" s="15">
        <v>400000</v>
      </c>
      <c r="I14" s="15">
        <v>300000</v>
      </c>
      <c r="J14" s="20">
        <f>SUM(E14:I14)</f>
        <v>1500000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customHeight="1" spans="1:27">
      <c r="A15" s="1"/>
      <c r="B15" s="1"/>
      <c r="C15" s="1"/>
      <c r="D15" s="4" t="s">
        <v>35</v>
      </c>
      <c r="E15" s="15">
        <v>19500</v>
      </c>
      <c r="F15" s="15">
        <v>19400</v>
      </c>
      <c r="G15" s="15">
        <v>20700</v>
      </c>
      <c r="H15" s="15">
        <v>8400</v>
      </c>
      <c r="I15" s="15">
        <v>18000</v>
      </c>
      <c r="J15" s="2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customHeight="1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customHeight="1" spans="1:27">
      <c r="A17" s="1"/>
      <c r="B17" s="1"/>
      <c r="C17" s="1"/>
      <c r="D17" s="6" t="s">
        <v>14</v>
      </c>
      <c r="E17" s="94" t="s">
        <v>21</v>
      </c>
      <c r="F17" s="6" t="s">
        <v>22</v>
      </c>
      <c r="G17" s="6" t="s">
        <v>23</v>
      </c>
      <c r="H17" s="6" t="s">
        <v>24</v>
      </c>
      <c r="I17" s="6" t="s">
        <v>25</v>
      </c>
      <c r="J17" s="8" t="s">
        <v>33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customHeight="1" spans="1:27">
      <c r="A18" s="1"/>
      <c r="B18" s="1"/>
      <c r="C18" s="14" t="s">
        <v>36</v>
      </c>
      <c r="D18" s="4" t="s">
        <v>3</v>
      </c>
      <c r="E18" s="18">
        <f t="shared" ref="E18:I18" si="1">E14/E15</f>
        <v>15.8974358974359</v>
      </c>
      <c r="F18" s="18">
        <f t="shared" si="1"/>
        <v>12.3711340206186</v>
      </c>
      <c r="G18" s="18">
        <f t="shared" si="1"/>
        <v>12.0772946859903</v>
      </c>
      <c r="H18" s="18">
        <f t="shared" si="1"/>
        <v>47.6190476190476</v>
      </c>
      <c r="I18" s="18">
        <f t="shared" si="1"/>
        <v>16.6666666666667</v>
      </c>
      <c r="J18" s="22">
        <f t="shared" ref="J18:J23" si="2">SUM(E18:I18)</f>
        <v>104.631578889759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customHeight="1" spans="1:27">
      <c r="A19" s="1"/>
      <c r="B19" s="1"/>
      <c r="C19" s="1"/>
      <c r="D19" s="4" t="s">
        <v>37</v>
      </c>
      <c r="E19" s="18">
        <f t="shared" ref="E19:I19" si="3">E28/E15</f>
        <v>15.8974358974359</v>
      </c>
      <c r="F19" s="18">
        <f t="shared" si="3"/>
        <v>12.3711340206186</v>
      </c>
      <c r="G19" s="18">
        <f t="shared" si="3"/>
        <v>18.1150362771716</v>
      </c>
      <c r="H19" s="18">
        <f t="shared" si="3"/>
        <v>50.9022422437708</v>
      </c>
      <c r="I19" s="18">
        <f t="shared" si="3"/>
        <v>17.5438596491228</v>
      </c>
      <c r="J19" s="22">
        <f t="shared" si="2"/>
        <v>114.82970808812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customHeight="1" spans="1:27">
      <c r="A20" s="1"/>
      <c r="B20" s="1"/>
      <c r="C20" s="1"/>
      <c r="D20" s="4" t="s">
        <v>38</v>
      </c>
      <c r="E20" s="18">
        <f t="shared" ref="E20:I20" si="4">E29/E15</f>
        <v>24.8397435897436</v>
      </c>
      <c r="F20" s="18">
        <f t="shared" si="4"/>
        <v>19.0325138778747</v>
      </c>
      <c r="G20" s="18">
        <f t="shared" si="4"/>
        <v>22.1401078919233</v>
      </c>
      <c r="H20" s="18">
        <f t="shared" si="4"/>
        <v>51.7246644078557</v>
      </c>
      <c r="I20" s="18">
        <f t="shared" si="4"/>
        <v>26.9905533063428</v>
      </c>
      <c r="J20" s="22">
        <f t="shared" si="2"/>
        <v>144.72758307374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customHeight="1" spans="1:27">
      <c r="A21" s="1"/>
      <c r="B21" s="1"/>
      <c r="C21" s="1"/>
      <c r="D21" s="4" t="s">
        <v>39</v>
      </c>
      <c r="E21" s="18">
        <f t="shared" ref="E21:I21" si="5">E30/E15</f>
        <v>53.0650365087451</v>
      </c>
      <c r="F21" s="18">
        <f t="shared" si="5"/>
        <v>40.4947103784568</v>
      </c>
      <c r="G21" s="18">
        <f t="shared" si="5"/>
        <v>40.2547416216787</v>
      </c>
      <c r="H21" s="18">
        <f t="shared" si="5"/>
        <v>59.9358799627529</v>
      </c>
      <c r="I21" s="18">
        <f t="shared" si="5"/>
        <v>79.3839803127729</v>
      </c>
      <c r="J21" s="22">
        <f t="shared" si="2"/>
        <v>273.134348784406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customHeight="1" spans="1:27">
      <c r="A22" s="1"/>
      <c r="B22" s="1"/>
      <c r="C22" s="1"/>
      <c r="D22" s="4" t="s">
        <v>40</v>
      </c>
      <c r="E22" s="18">
        <f t="shared" ref="E22:I22" si="6">E31/E15</f>
        <v>66.6144068651081</v>
      </c>
      <c r="F22" s="18">
        <f t="shared" si="6"/>
        <v>67.4911839640947</v>
      </c>
      <c r="G22" s="18">
        <f t="shared" si="6"/>
        <v>67.42837792576</v>
      </c>
      <c r="H22" s="18">
        <f t="shared" si="6"/>
        <v>59.9358799627529</v>
      </c>
      <c r="I22" s="18">
        <f t="shared" si="6"/>
        <v>184.485197101494</v>
      </c>
      <c r="J22" s="22">
        <f t="shared" si="2"/>
        <v>445.95504581921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customHeight="1" spans="1:27">
      <c r="A23" s="1"/>
      <c r="B23" s="14">
        <f>230/1300</f>
        <v>0.176923076923077</v>
      </c>
      <c r="C23" s="1"/>
      <c r="D23" s="4" t="s">
        <v>41</v>
      </c>
      <c r="E23" s="18">
        <f t="shared" ref="E23:I23" si="7">E22/E5</f>
        <v>95.1634383787259</v>
      </c>
      <c r="F23" s="18">
        <f t="shared" si="7"/>
        <v>168.727959910237</v>
      </c>
      <c r="G23" s="18">
        <f t="shared" si="7"/>
        <v>130.827275758168</v>
      </c>
      <c r="H23" s="18">
        <f t="shared" si="7"/>
        <v>62.4332082945343</v>
      </c>
      <c r="I23" s="18">
        <f t="shared" si="7"/>
        <v>498.608640814849</v>
      </c>
      <c r="J23" s="22">
        <f t="shared" si="2"/>
        <v>955.760523156514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customHeight="1" spans="1:27">
      <c r="A24" s="1"/>
      <c r="B24" s="1"/>
      <c r="C24" s="1"/>
      <c r="D24" s="1"/>
      <c r="E24" s="95"/>
      <c r="F24" s="95"/>
      <c r="G24" s="95"/>
      <c r="H24" s="95"/>
      <c r="I24" s="95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customHeight="1" spans="1:27">
      <c r="A25" s="1"/>
      <c r="B25" s="14">
        <f>18%*500</f>
        <v>90</v>
      </c>
      <c r="C25" s="1"/>
      <c r="D25" s="1"/>
      <c r="E25" s="95"/>
      <c r="F25" s="95"/>
      <c r="G25" s="95"/>
      <c r="H25" s="95"/>
      <c r="I25" s="95"/>
      <c r="J25" s="9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customHeight="1" spans="1:27">
      <c r="A26" s="1"/>
      <c r="B26" s="1"/>
      <c r="C26" s="1"/>
      <c r="D26" s="6" t="s">
        <v>14</v>
      </c>
      <c r="E26" s="94" t="s">
        <v>21</v>
      </c>
      <c r="F26" s="96" t="s">
        <v>22</v>
      </c>
      <c r="G26" s="96" t="s">
        <v>23</v>
      </c>
      <c r="H26" s="96" t="s">
        <v>24</v>
      </c>
      <c r="I26" s="96" t="s">
        <v>25</v>
      </c>
      <c r="J26" s="22" t="s">
        <v>33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customHeight="1" spans="1:27">
      <c r="A27" s="1"/>
      <c r="B27" s="1"/>
      <c r="C27" s="14" t="s">
        <v>42</v>
      </c>
      <c r="D27" s="4" t="s">
        <v>3</v>
      </c>
      <c r="E27" s="15">
        <f t="shared" ref="E27:I27" si="8">E14</f>
        <v>310000</v>
      </c>
      <c r="F27" s="15">
        <f t="shared" si="8"/>
        <v>240000</v>
      </c>
      <c r="G27" s="15">
        <f t="shared" si="8"/>
        <v>250000</v>
      </c>
      <c r="H27" s="15">
        <f t="shared" si="8"/>
        <v>400000</v>
      </c>
      <c r="I27" s="15">
        <f t="shared" si="8"/>
        <v>300000</v>
      </c>
      <c r="J27" s="20">
        <f t="shared" ref="J27:J31" si="9">SUM(E27:I27)</f>
        <v>1500000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customHeight="1" spans="1:27">
      <c r="A28" s="1"/>
      <c r="B28" s="1"/>
      <c r="C28" s="1"/>
      <c r="D28" s="4" t="s">
        <v>37</v>
      </c>
      <c r="E28" s="15">
        <f t="shared" ref="E28:I28" si="10">E14/E9</f>
        <v>310000</v>
      </c>
      <c r="F28" s="15">
        <f t="shared" si="10"/>
        <v>240000</v>
      </c>
      <c r="G28" s="15">
        <f t="shared" si="10"/>
        <v>374981.250937453</v>
      </c>
      <c r="H28" s="15">
        <f t="shared" si="10"/>
        <v>427578.834847675</v>
      </c>
      <c r="I28" s="15">
        <f t="shared" si="10"/>
        <v>315789.473684211</v>
      </c>
      <c r="J28" s="20">
        <f t="shared" si="9"/>
        <v>1668349.55946934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customHeight="1" spans="1:27">
      <c r="A29" s="1"/>
      <c r="B29" s="1"/>
      <c r="C29" s="1"/>
      <c r="D29" s="4" t="s">
        <v>38</v>
      </c>
      <c r="E29" s="15">
        <f t="shared" ref="E29:I29" si="11">E28/E8</f>
        <v>484375</v>
      </c>
      <c r="F29" s="15">
        <f t="shared" si="11"/>
        <v>369230.769230769</v>
      </c>
      <c r="G29" s="15">
        <f t="shared" si="11"/>
        <v>458300.233362812</v>
      </c>
      <c r="H29" s="15">
        <f t="shared" si="11"/>
        <v>434487.181025988</v>
      </c>
      <c r="I29" s="15">
        <f t="shared" si="11"/>
        <v>485829.95951417</v>
      </c>
      <c r="J29" s="20">
        <f t="shared" si="9"/>
        <v>2232223.14313374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customHeight="1" spans="1:27">
      <c r="A30" s="1"/>
      <c r="B30" s="1"/>
      <c r="C30" s="1"/>
      <c r="D30" s="4" t="s">
        <v>39</v>
      </c>
      <c r="E30" s="15">
        <f t="shared" ref="E30:I30" si="12">E29/E7</f>
        <v>1034768.21192053</v>
      </c>
      <c r="F30" s="15">
        <f t="shared" si="12"/>
        <v>785597.381342062</v>
      </c>
      <c r="G30" s="15">
        <f t="shared" si="12"/>
        <v>833273.15156875</v>
      </c>
      <c r="H30" s="15">
        <f t="shared" si="12"/>
        <v>503461.391687124</v>
      </c>
      <c r="I30" s="15">
        <f t="shared" si="12"/>
        <v>1428911.64562991</v>
      </c>
      <c r="J30" s="20">
        <f t="shared" si="9"/>
        <v>4586011.78214838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customHeight="1" spans="1:27">
      <c r="A31" s="1"/>
      <c r="B31" s="1"/>
      <c r="C31" s="1"/>
      <c r="D31" s="4" t="s">
        <v>40</v>
      </c>
      <c r="E31" s="15">
        <f t="shared" ref="E31:I31" si="13">E30/E6</f>
        <v>1298980.93386961</v>
      </c>
      <c r="F31" s="15">
        <f t="shared" si="13"/>
        <v>1309328.96890344</v>
      </c>
      <c r="G31" s="15">
        <f t="shared" si="13"/>
        <v>1395767.42306323</v>
      </c>
      <c r="H31" s="15">
        <f t="shared" si="13"/>
        <v>503461.391687124</v>
      </c>
      <c r="I31" s="15">
        <f t="shared" si="13"/>
        <v>3320733.54782689</v>
      </c>
      <c r="J31" s="20">
        <f t="shared" si="9"/>
        <v>7828272.26535029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customHeight="1" spans="1:27">
      <c r="A32" s="1"/>
      <c r="B32" s="1"/>
      <c r="C32" s="1"/>
      <c r="D32" s="1"/>
      <c r="E32" s="19"/>
      <c r="F32" s="19"/>
      <c r="G32" s="19"/>
      <c r="H32" s="19"/>
      <c r="I32" s="19"/>
      <c r="J32" s="1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customHeight="1" spans="1:27">
      <c r="A33" s="1"/>
      <c r="B33" s="1"/>
      <c r="C33" s="1"/>
      <c r="D33" s="91"/>
      <c r="E33" s="97"/>
      <c r="F33" s="97"/>
      <c r="G33" s="97"/>
      <c r="H33" s="97"/>
      <c r="I33" s="97"/>
      <c r="J33" s="9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customHeight="1" spans="1:27">
      <c r="A34" s="1"/>
      <c r="B34" s="1"/>
      <c r="C34" s="1"/>
      <c r="D34" s="91"/>
      <c r="E34" s="97"/>
      <c r="F34" s="97"/>
      <c r="G34" s="97"/>
      <c r="H34" s="97"/>
      <c r="I34" s="97"/>
      <c r="J34" s="9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customHeight="1" spans="1:27">
      <c r="A35" s="1"/>
      <c r="B35" s="1"/>
      <c r="C35" s="1"/>
      <c r="D35" s="1"/>
      <c r="E35" s="19"/>
      <c r="F35" s="19"/>
      <c r="G35" s="19"/>
      <c r="H35" s="19"/>
      <c r="I35" s="19"/>
      <c r="J35" s="1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customHeight="1" spans="1:27">
      <c r="A36" s="1"/>
      <c r="B36" s="1"/>
      <c r="C36" s="1"/>
      <c r="D36" s="7" t="s">
        <v>43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customHeight="1" spans="1:27">
      <c r="A37" s="1"/>
      <c r="B37" s="1"/>
      <c r="C37" s="5"/>
      <c r="D37" s="5"/>
      <c r="E37" s="5"/>
      <c r="F37" s="5"/>
      <c r="G37" s="5"/>
      <c r="H37" s="5"/>
      <c r="I37" s="5"/>
      <c r="J37" s="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customHeight="1" spans="1:27">
      <c r="A38" s="1"/>
      <c r="B38" s="1"/>
      <c r="C38" s="14" t="s">
        <v>42</v>
      </c>
      <c r="D38" s="3" t="s">
        <v>10</v>
      </c>
      <c r="E38" s="94" t="s">
        <v>21</v>
      </c>
      <c r="F38" s="6" t="s">
        <v>22</v>
      </c>
      <c r="G38" s="6" t="s">
        <v>23</v>
      </c>
      <c r="H38" s="6" t="s">
        <v>24</v>
      </c>
      <c r="I38" s="6" t="s">
        <v>25</v>
      </c>
      <c r="J38" s="8" t="s">
        <v>33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customHeight="1" spans="1:27">
      <c r="A39" s="1"/>
      <c r="B39" s="1"/>
      <c r="C39" s="5"/>
      <c r="D39" s="4" t="s">
        <v>3</v>
      </c>
      <c r="E39" s="15">
        <f t="shared" ref="E39:I39" si="14">E14/4</f>
        <v>77500</v>
      </c>
      <c r="F39" s="15">
        <f t="shared" si="14"/>
        <v>60000</v>
      </c>
      <c r="G39" s="15">
        <f t="shared" si="14"/>
        <v>62500</v>
      </c>
      <c r="H39" s="15">
        <f t="shared" si="14"/>
        <v>100000</v>
      </c>
      <c r="I39" s="15">
        <f t="shared" si="14"/>
        <v>75000</v>
      </c>
      <c r="J39" s="20">
        <f t="shared" ref="J39:J43" si="15">SUM(E39:I39)</f>
        <v>375000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customHeight="1" spans="1:27">
      <c r="A40" s="1"/>
      <c r="B40" s="1"/>
      <c r="C40" s="5"/>
      <c r="D40" s="4" t="s">
        <v>37</v>
      </c>
      <c r="E40" s="15">
        <f t="shared" ref="E40:I40" si="16">E39/E9</f>
        <v>77500</v>
      </c>
      <c r="F40" s="15">
        <f t="shared" si="16"/>
        <v>60000</v>
      </c>
      <c r="G40" s="15">
        <f t="shared" si="16"/>
        <v>93745.3127343633</v>
      </c>
      <c r="H40" s="15">
        <f t="shared" si="16"/>
        <v>106894.708711919</v>
      </c>
      <c r="I40" s="15">
        <f t="shared" si="16"/>
        <v>78947.3684210526</v>
      </c>
      <c r="J40" s="20">
        <f t="shared" si="15"/>
        <v>417087.389867335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customHeight="1" spans="1:27">
      <c r="A41" s="1"/>
      <c r="B41" s="1"/>
      <c r="C41" s="5"/>
      <c r="D41" s="4" t="s">
        <v>38</v>
      </c>
      <c r="E41" s="15">
        <f t="shared" ref="E41:I41" si="17">E40/E8</f>
        <v>121093.75</v>
      </c>
      <c r="F41" s="15">
        <f t="shared" si="17"/>
        <v>92307.6923076923</v>
      </c>
      <c r="G41" s="15">
        <f t="shared" si="17"/>
        <v>114575.058340703</v>
      </c>
      <c r="H41" s="15">
        <f t="shared" si="17"/>
        <v>108621.795256497</v>
      </c>
      <c r="I41" s="15">
        <f t="shared" si="17"/>
        <v>121457.489878543</v>
      </c>
      <c r="J41" s="20">
        <f t="shared" si="15"/>
        <v>558055.785783435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customHeight="1" spans="1:27">
      <c r="A42" s="1"/>
      <c r="B42" s="1"/>
      <c r="C42" s="5"/>
      <c r="D42" s="4" t="s">
        <v>39</v>
      </c>
      <c r="E42" s="15">
        <f t="shared" ref="E42:I42" si="18">E41/E7</f>
        <v>258692.052980132</v>
      </c>
      <c r="F42" s="15">
        <f t="shared" si="18"/>
        <v>196399.345335516</v>
      </c>
      <c r="G42" s="15">
        <f t="shared" si="18"/>
        <v>208318.287892187</v>
      </c>
      <c r="H42" s="15">
        <f t="shared" si="18"/>
        <v>125865.347921781</v>
      </c>
      <c r="I42" s="15">
        <f t="shared" si="18"/>
        <v>357227.911407478</v>
      </c>
      <c r="J42" s="20">
        <f t="shared" si="15"/>
        <v>1146502.94553709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customHeight="1" spans="1:27">
      <c r="A43" s="1"/>
      <c r="B43" s="1"/>
      <c r="C43" s="5"/>
      <c r="D43" s="4" t="s">
        <v>40</v>
      </c>
      <c r="E43" s="15">
        <f t="shared" ref="E43:I43" si="19">E42/E6</f>
        <v>324745.233467402</v>
      </c>
      <c r="F43" s="15">
        <f t="shared" si="19"/>
        <v>327332.242225859</v>
      </c>
      <c r="G43" s="15">
        <f t="shared" si="19"/>
        <v>348941.855765808</v>
      </c>
      <c r="H43" s="15">
        <f t="shared" si="19"/>
        <v>125865.347921781</v>
      </c>
      <c r="I43" s="15">
        <f t="shared" si="19"/>
        <v>830183.386956723</v>
      </c>
      <c r="J43" s="20">
        <f t="shared" si="15"/>
        <v>1957068.06633757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customHeight="1" spans="1:27">
      <c r="A44" s="1"/>
      <c r="B44" s="1"/>
      <c r="C44" s="5"/>
      <c r="D44" s="5"/>
      <c r="E44" s="44"/>
      <c r="F44" s="44"/>
      <c r="G44" s="44"/>
      <c r="H44" s="44"/>
      <c r="I44" s="44"/>
      <c r="J44" s="4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customHeight="1" spans="1:27">
      <c r="A45" s="1"/>
      <c r="B45" s="1"/>
      <c r="C45" s="5"/>
      <c r="D45" s="5"/>
      <c r="E45" s="44"/>
      <c r="F45" s="44"/>
      <c r="G45" s="44"/>
      <c r="H45" s="44"/>
      <c r="I45" s="44"/>
      <c r="J45" s="4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customHeight="1" spans="1:27">
      <c r="A46" s="1"/>
      <c r="B46" s="1"/>
      <c r="C46" s="14" t="s">
        <v>36</v>
      </c>
      <c r="D46" s="3" t="s">
        <v>10</v>
      </c>
      <c r="E46" s="94" t="s">
        <v>21</v>
      </c>
      <c r="F46" s="92" t="s">
        <v>22</v>
      </c>
      <c r="G46" s="92" t="s">
        <v>23</v>
      </c>
      <c r="H46" s="92" t="s">
        <v>24</v>
      </c>
      <c r="I46" s="92" t="s">
        <v>25</v>
      </c>
      <c r="J46" s="20" t="s">
        <v>33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customHeight="1" spans="1:27">
      <c r="A47" s="1"/>
      <c r="B47" s="1"/>
      <c r="C47" s="5"/>
      <c r="D47" s="4" t="s">
        <v>3</v>
      </c>
      <c r="E47" s="18">
        <f t="shared" ref="E47:E51" si="20">E39/$E$15</f>
        <v>3.97435897435897</v>
      </c>
      <c r="F47" s="18">
        <f t="shared" ref="F47:F51" si="21">F39/$F$15</f>
        <v>3.09278350515464</v>
      </c>
      <c r="G47" s="18">
        <f t="shared" ref="G47:G51" si="22">G39/$G$15</f>
        <v>3.01932367149758</v>
      </c>
      <c r="H47" s="18">
        <f t="shared" ref="H47:H51" si="23">H39/$H$15</f>
        <v>11.9047619047619</v>
      </c>
      <c r="I47" s="18">
        <f t="shared" ref="I47:I51" si="24">I39/$I$15</f>
        <v>4.16666666666667</v>
      </c>
      <c r="J47" s="22">
        <f t="shared" ref="J47:J52" si="25">SUM(E47:I47)</f>
        <v>26.1578947224398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customHeight="1" spans="1:27">
      <c r="A48" s="1"/>
      <c r="B48" s="1"/>
      <c r="C48" s="5"/>
      <c r="D48" s="4" t="s">
        <v>37</v>
      </c>
      <c r="E48" s="18">
        <f t="shared" si="20"/>
        <v>3.97435897435897</v>
      </c>
      <c r="F48" s="18">
        <f t="shared" si="21"/>
        <v>3.09278350515464</v>
      </c>
      <c r="G48" s="18">
        <f t="shared" si="22"/>
        <v>4.52875906929291</v>
      </c>
      <c r="H48" s="18">
        <f t="shared" si="23"/>
        <v>12.7255605609427</v>
      </c>
      <c r="I48" s="18">
        <f t="shared" si="24"/>
        <v>4.3859649122807</v>
      </c>
      <c r="J48" s="22">
        <f t="shared" si="25"/>
        <v>28.7074270220299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customHeight="1" spans="1:27">
      <c r="A49" s="1"/>
      <c r="B49" s="1"/>
      <c r="C49" s="5"/>
      <c r="D49" s="4" t="s">
        <v>38</v>
      </c>
      <c r="E49" s="18">
        <f t="shared" si="20"/>
        <v>6.2099358974359</v>
      </c>
      <c r="F49" s="18">
        <f t="shared" si="21"/>
        <v>4.75812846946867</v>
      </c>
      <c r="G49" s="18">
        <f t="shared" si="22"/>
        <v>5.53502697298083</v>
      </c>
      <c r="H49" s="18">
        <f t="shared" si="23"/>
        <v>12.9311661019639</v>
      </c>
      <c r="I49" s="18">
        <f t="shared" si="24"/>
        <v>6.7476383265857</v>
      </c>
      <c r="J49" s="22">
        <f t="shared" si="25"/>
        <v>36.181895768435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customHeight="1" spans="1:27">
      <c r="A50" s="1"/>
      <c r="B50" s="1"/>
      <c r="C50" s="5"/>
      <c r="D50" s="4" t="s">
        <v>39</v>
      </c>
      <c r="E50" s="18">
        <f t="shared" si="20"/>
        <v>13.2662591271863</v>
      </c>
      <c r="F50" s="18">
        <f t="shared" si="21"/>
        <v>10.1236775946142</v>
      </c>
      <c r="G50" s="18">
        <f t="shared" si="22"/>
        <v>10.0636854054197</v>
      </c>
      <c r="H50" s="18">
        <f t="shared" si="23"/>
        <v>14.9839699906882</v>
      </c>
      <c r="I50" s="18">
        <f t="shared" si="24"/>
        <v>19.8459950781932</v>
      </c>
      <c r="J50" s="22">
        <f t="shared" si="25"/>
        <v>68.2835871961016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customHeight="1" spans="1:27">
      <c r="A51" s="1"/>
      <c r="B51" s="1"/>
      <c r="C51" s="5"/>
      <c r="D51" s="4" t="s">
        <v>40</v>
      </c>
      <c r="E51" s="18">
        <f t="shared" si="20"/>
        <v>16.653601716277</v>
      </c>
      <c r="F51" s="18">
        <f t="shared" si="21"/>
        <v>16.8727959910237</v>
      </c>
      <c r="G51" s="18">
        <f t="shared" si="22"/>
        <v>16.85709448144</v>
      </c>
      <c r="H51" s="18">
        <f t="shared" si="23"/>
        <v>14.9839699906882</v>
      </c>
      <c r="I51" s="18">
        <f t="shared" si="24"/>
        <v>46.1212992753735</v>
      </c>
      <c r="J51" s="22">
        <f t="shared" si="25"/>
        <v>111.488761454802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customHeight="1" spans="1:27">
      <c r="A52" s="1"/>
      <c r="B52" s="1"/>
      <c r="C52" s="5"/>
      <c r="D52" s="4" t="s">
        <v>41</v>
      </c>
      <c r="E52" s="18">
        <f t="shared" ref="E52:I52" si="26">E51/E5</f>
        <v>23.7908595946815</v>
      </c>
      <c r="F52" s="18">
        <f t="shared" si="26"/>
        <v>42.1819899775592</v>
      </c>
      <c r="G52" s="18">
        <f t="shared" si="26"/>
        <v>32.7068189395421</v>
      </c>
      <c r="H52" s="18">
        <f t="shared" si="26"/>
        <v>15.6083020736336</v>
      </c>
      <c r="I52" s="18">
        <f t="shared" si="26"/>
        <v>124.652160203712</v>
      </c>
      <c r="J52" s="22">
        <f t="shared" si="25"/>
        <v>238.940130789128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customHeight="1" spans="1:27">
      <c r="A53" s="1"/>
      <c r="B53" s="1"/>
      <c r="C53" s="1"/>
      <c r="D53" s="5"/>
      <c r="E53" s="98"/>
      <c r="F53" s="98"/>
      <c r="G53" s="98"/>
      <c r="H53" s="98"/>
      <c r="I53" s="98"/>
      <c r="J53" s="9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customHeight="1" spans="1:27">
      <c r="A54" s="1"/>
      <c r="B54" s="1"/>
      <c r="C54" s="1"/>
      <c r="D54" s="5"/>
      <c r="E54" s="98"/>
      <c r="F54" s="98"/>
      <c r="G54" s="98"/>
      <c r="H54" s="98"/>
      <c r="I54" s="98"/>
      <c r="J54" s="9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customHeight="1" spans="1:27">
      <c r="A55" s="1"/>
      <c r="B55" s="1"/>
      <c r="C55" s="1"/>
      <c r="D55" s="5"/>
      <c r="E55" s="98"/>
      <c r="F55" s="98"/>
      <c r="G55" s="98"/>
      <c r="H55" s="98"/>
      <c r="I55" s="98"/>
      <c r="J55" s="9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customHeight="1" spans="1:27">
      <c r="A56" s="1"/>
      <c r="B56" s="1"/>
      <c r="C56" s="14" t="s">
        <v>42</v>
      </c>
      <c r="D56" s="3" t="s">
        <v>11</v>
      </c>
      <c r="E56" s="94" t="s">
        <v>21</v>
      </c>
      <c r="F56" s="96" t="s">
        <v>22</v>
      </c>
      <c r="G56" s="96" t="s">
        <v>23</v>
      </c>
      <c r="H56" s="96" t="s">
        <v>24</v>
      </c>
      <c r="I56" s="96" t="s">
        <v>25</v>
      </c>
      <c r="J56" s="22" t="s">
        <v>33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customHeight="1" spans="1:27">
      <c r="A57" s="1"/>
      <c r="B57" s="1"/>
      <c r="C57" s="5"/>
      <c r="D57" s="4" t="s">
        <v>3</v>
      </c>
      <c r="E57" s="15">
        <v>77500</v>
      </c>
      <c r="F57" s="15">
        <v>60000</v>
      </c>
      <c r="G57" s="15">
        <v>62500</v>
      </c>
      <c r="H57" s="15">
        <v>100000</v>
      </c>
      <c r="I57" s="15">
        <v>75000</v>
      </c>
      <c r="J57" s="20">
        <v>375000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customHeight="1" spans="1:27">
      <c r="A58" s="1"/>
      <c r="B58" s="1"/>
      <c r="C58" s="5"/>
      <c r="D58" s="4" t="s">
        <v>37</v>
      </c>
      <c r="E58" s="15">
        <v>77500</v>
      </c>
      <c r="F58" s="15">
        <v>60000</v>
      </c>
      <c r="G58" s="15">
        <v>93745.3127343633</v>
      </c>
      <c r="H58" s="15">
        <v>106894.708711919</v>
      </c>
      <c r="I58" s="15">
        <v>78947.3684210526</v>
      </c>
      <c r="J58" s="20">
        <v>417087.389867335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customHeight="1" spans="1:27">
      <c r="A59" s="1"/>
      <c r="B59" s="1"/>
      <c r="C59" s="5"/>
      <c r="D59" s="4" t="s">
        <v>38</v>
      </c>
      <c r="E59" s="15">
        <v>121093.75</v>
      </c>
      <c r="F59" s="15">
        <v>92307.6923076923</v>
      </c>
      <c r="G59" s="15">
        <v>114575.058340703</v>
      </c>
      <c r="H59" s="15">
        <v>108621.795256497</v>
      </c>
      <c r="I59" s="15">
        <v>121457.489878543</v>
      </c>
      <c r="J59" s="20">
        <v>558055.785783435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customHeight="1" spans="1:27">
      <c r="A60" s="1"/>
      <c r="B60" s="1"/>
      <c r="C60" s="5"/>
      <c r="D60" s="4" t="s">
        <v>39</v>
      </c>
      <c r="E60" s="15">
        <v>258692.052980132</v>
      </c>
      <c r="F60" s="15">
        <v>196399.345335516</v>
      </c>
      <c r="G60" s="15">
        <v>208318.287892187</v>
      </c>
      <c r="H60" s="15">
        <v>125865.347921781</v>
      </c>
      <c r="I60" s="15">
        <v>357227.911407478</v>
      </c>
      <c r="J60" s="20">
        <v>1146502.94553709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customHeight="1" spans="1:27">
      <c r="A61" s="1"/>
      <c r="B61" s="1"/>
      <c r="C61" s="5"/>
      <c r="D61" s="4" t="s">
        <v>40</v>
      </c>
      <c r="E61" s="15">
        <v>324745.233467402</v>
      </c>
      <c r="F61" s="15">
        <v>327332.242225859</v>
      </c>
      <c r="G61" s="15">
        <v>348941.855765808</v>
      </c>
      <c r="H61" s="15">
        <v>125865.347921781</v>
      </c>
      <c r="I61" s="15">
        <v>830183.386956723</v>
      </c>
      <c r="J61" s="20">
        <v>1957068.06633757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customHeight="1" spans="1:27">
      <c r="A62" s="1"/>
      <c r="B62" s="1"/>
      <c r="C62" s="5"/>
      <c r="D62" s="5"/>
      <c r="E62" s="44"/>
      <c r="F62" s="44"/>
      <c r="G62" s="44"/>
      <c r="H62" s="44"/>
      <c r="I62" s="44"/>
      <c r="J62" s="4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customHeight="1" spans="1:27">
      <c r="A63" s="1"/>
      <c r="B63" s="1"/>
      <c r="C63" s="5"/>
      <c r="D63" s="5"/>
      <c r="E63" s="44"/>
      <c r="F63" s="44"/>
      <c r="G63" s="44"/>
      <c r="H63" s="44"/>
      <c r="I63" s="44"/>
      <c r="J63" s="44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customHeight="1" spans="1:27">
      <c r="A64" s="1"/>
      <c r="B64" s="1"/>
      <c r="C64" s="14" t="s">
        <v>36</v>
      </c>
      <c r="D64" s="3" t="s">
        <v>11</v>
      </c>
      <c r="E64" s="94" t="s">
        <v>21</v>
      </c>
      <c r="F64" s="92" t="s">
        <v>22</v>
      </c>
      <c r="G64" s="92" t="s">
        <v>23</v>
      </c>
      <c r="H64" s="92" t="s">
        <v>24</v>
      </c>
      <c r="I64" s="92" t="s">
        <v>25</v>
      </c>
      <c r="J64" s="20" t="s">
        <v>33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customHeight="1" spans="1:27">
      <c r="A65" s="1"/>
      <c r="B65" s="1"/>
      <c r="C65" s="1"/>
      <c r="D65" s="4" t="s">
        <v>3</v>
      </c>
      <c r="E65" s="18">
        <v>3.97435897435897</v>
      </c>
      <c r="F65" s="18">
        <v>3.09278350515464</v>
      </c>
      <c r="G65" s="18">
        <v>3.01932367149758</v>
      </c>
      <c r="H65" s="18">
        <v>11.9047619047619</v>
      </c>
      <c r="I65" s="18">
        <v>4.16666666666667</v>
      </c>
      <c r="J65" s="22">
        <v>26.1578947224398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customHeight="1" spans="1:27">
      <c r="A66" s="1"/>
      <c r="B66" s="1"/>
      <c r="C66" s="1"/>
      <c r="D66" s="4" t="s">
        <v>37</v>
      </c>
      <c r="E66" s="18">
        <v>3.97435897435897</v>
      </c>
      <c r="F66" s="18">
        <v>3.09278350515464</v>
      </c>
      <c r="G66" s="18">
        <v>4.52875906929291</v>
      </c>
      <c r="H66" s="18">
        <v>12.7255605609427</v>
      </c>
      <c r="I66" s="18">
        <v>4.3859649122807</v>
      </c>
      <c r="J66" s="22">
        <v>28.7074270220299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customHeight="1" spans="1:27">
      <c r="A67" s="1"/>
      <c r="B67" s="1"/>
      <c r="C67" s="1"/>
      <c r="D67" s="4" t="s">
        <v>38</v>
      </c>
      <c r="E67" s="18">
        <v>6.2099358974359</v>
      </c>
      <c r="F67" s="18">
        <v>4.75812846946867</v>
      </c>
      <c r="G67" s="18">
        <v>5.53502697298083</v>
      </c>
      <c r="H67" s="18">
        <v>12.9311661019639</v>
      </c>
      <c r="I67" s="18">
        <v>6.7476383265857</v>
      </c>
      <c r="J67" s="22">
        <v>36.181895768435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customHeight="1" spans="1:27">
      <c r="A68" s="1"/>
      <c r="B68" s="1"/>
      <c r="C68" s="1"/>
      <c r="D68" s="4" t="s">
        <v>39</v>
      </c>
      <c r="E68" s="18">
        <v>13.2662591271863</v>
      </c>
      <c r="F68" s="18">
        <v>10.1236775946142</v>
      </c>
      <c r="G68" s="18">
        <v>10.0636854054197</v>
      </c>
      <c r="H68" s="18">
        <v>14.9839699906882</v>
      </c>
      <c r="I68" s="18">
        <v>19.8459950781932</v>
      </c>
      <c r="J68" s="22">
        <v>68.2835871961016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customHeight="1" spans="1:27">
      <c r="A69" s="1"/>
      <c r="B69" s="1"/>
      <c r="C69" s="1"/>
      <c r="D69" s="4" t="s">
        <v>40</v>
      </c>
      <c r="E69" s="18">
        <v>16.653601716277</v>
      </c>
      <c r="F69" s="18">
        <v>16.8727959910237</v>
      </c>
      <c r="G69" s="18">
        <v>16.85709448144</v>
      </c>
      <c r="H69" s="18">
        <v>14.9839699906882</v>
      </c>
      <c r="I69" s="18">
        <v>46.1212992753735</v>
      </c>
      <c r="J69" s="22">
        <v>111.488761454802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customHeight="1" spans="1:27">
      <c r="A70" s="1"/>
      <c r="B70" s="1"/>
      <c r="C70" s="1"/>
      <c r="D70" s="4" t="s">
        <v>41</v>
      </c>
      <c r="E70" s="18">
        <v>23.7908595946815</v>
      </c>
      <c r="F70" s="18">
        <v>42.1819899775592</v>
      </c>
      <c r="G70" s="18">
        <v>32.7068189395421</v>
      </c>
      <c r="H70" s="18">
        <v>15.6083020736336</v>
      </c>
      <c r="I70" s="18">
        <v>124.652160203712</v>
      </c>
      <c r="J70" s="22">
        <v>238.940130789128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customHeight="1" spans="1:27">
      <c r="A71" s="1"/>
      <c r="B71" s="1"/>
      <c r="C71" s="1"/>
      <c r="D71" s="1"/>
      <c r="E71" s="95"/>
      <c r="F71" s="95"/>
      <c r="G71" s="95"/>
      <c r="H71" s="95"/>
      <c r="I71" s="95"/>
      <c r="J71" s="9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customHeight="1" spans="1:27">
      <c r="A72" s="1"/>
      <c r="B72" s="1"/>
      <c r="C72" s="1"/>
      <c r="D72" s="1"/>
      <c r="E72" s="95"/>
      <c r="F72" s="95"/>
      <c r="G72" s="95"/>
      <c r="H72" s="95"/>
      <c r="I72" s="95"/>
      <c r="J72" s="9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customHeight="1" spans="1:27">
      <c r="A73" s="1"/>
      <c r="B73" s="1"/>
      <c r="C73" s="14" t="s">
        <v>42</v>
      </c>
      <c r="D73" s="3" t="s">
        <v>12</v>
      </c>
      <c r="E73" s="94" t="s">
        <v>21</v>
      </c>
      <c r="F73" s="96" t="s">
        <v>22</v>
      </c>
      <c r="G73" s="96" t="s">
        <v>23</v>
      </c>
      <c r="H73" s="96" t="s">
        <v>24</v>
      </c>
      <c r="I73" s="96" t="s">
        <v>25</v>
      </c>
      <c r="J73" s="22" t="s">
        <v>33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customHeight="1" spans="1:27">
      <c r="A74" s="1"/>
      <c r="B74" s="1"/>
      <c r="C74" s="5"/>
      <c r="D74" s="4" t="s">
        <v>3</v>
      </c>
      <c r="E74" s="15">
        <v>77500</v>
      </c>
      <c r="F74" s="15">
        <v>60000</v>
      </c>
      <c r="G74" s="15">
        <v>62500</v>
      </c>
      <c r="H74" s="15">
        <v>100000</v>
      </c>
      <c r="I74" s="15">
        <v>75000</v>
      </c>
      <c r="J74" s="20">
        <v>375000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customHeight="1" spans="1:27">
      <c r="A75" s="1"/>
      <c r="B75" s="1"/>
      <c r="C75" s="5"/>
      <c r="D75" s="4" t="s">
        <v>37</v>
      </c>
      <c r="E75" s="15">
        <v>77500</v>
      </c>
      <c r="F75" s="15">
        <v>60000</v>
      </c>
      <c r="G75" s="15">
        <v>93745.3127343633</v>
      </c>
      <c r="H75" s="15">
        <v>106894.708711919</v>
      </c>
      <c r="I75" s="15">
        <v>78947.3684210526</v>
      </c>
      <c r="J75" s="20">
        <v>417087.389867335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customHeight="1" spans="1:27">
      <c r="A76" s="1"/>
      <c r="B76" s="1"/>
      <c r="C76" s="5"/>
      <c r="D76" s="4" t="s">
        <v>38</v>
      </c>
      <c r="E76" s="15">
        <v>121093.75</v>
      </c>
      <c r="F76" s="15">
        <v>92307.6923076923</v>
      </c>
      <c r="G76" s="15">
        <v>114575.058340703</v>
      </c>
      <c r="H76" s="15">
        <v>108621.795256497</v>
      </c>
      <c r="I76" s="15">
        <v>121457.489878543</v>
      </c>
      <c r="J76" s="20">
        <v>558055.785783435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customHeight="1" spans="1:27">
      <c r="A77" s="1"/>
      <c r="B77" s="1"/>
      <c r="C77" s="5"/>
      <c r="D77" s="4" t="s">
        <v>39</v>
      </c>
      <c r="E77" s="15">
        <v>258692.052980132</v>
      </c>
      <c r="F77" s="15">
        <v>196399.345335516</v>
      </c>
      <c r="G77" s="15">
        <v>208318.287892187</v>
      </c>
      <c r="H77" s="15">
        <v>125865.347921781</v>
      </c>
      <c r="I77" s="15">
        <v>357227.911407478</v>
      </c>
      <c r="J77" s="20">
        <v>1146502.94553709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customHeight="1" spans="1:27">
      <c r="A78" s="1"/>
      <c r="B78" s="1"/>
      <c r="C78" s="5"/>
      <c r="D78" s="4" t="s">
        <v>40</v>
      </c>
      <c r="E78" s="15">
        <v>324745.233467402</v>
      </c>
      <c r="F78" s="15">
        <v>327332.242225859</v>
      </c>
      <c r="G78" s="15">
        <v>348941.855765808</v>
      </c>
      <c r="H78" s="15">
        <v>125865.347921781</v>
      </c>
      <c r="I78" s="15">
        <v>830183.386956723</v>
      </c>
      <c r="J78" s="20">
        <v>1957068.06633757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customHeight="1" spans="1:27">
      <c r="A79" s="1"/>
      <c r="B79" s="1"/>
      <c r="C79" s="5"/>
      <c r="D79" s="5"/>
      <c r="E79" s="44"/>
      <c r="F79" s="44"/>
      <c r="G79" s="44"/>
      <c r="H79" s="44"/>
      <c r="I79" s="44"/>
      <c r="J79" s="4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customHeight="1" spans="1:27">
      <c r="A80" s="1"/>
      <c r="B80" s="1"/>
      <c r="C80" s="5"/>
      <c r="D80" s="5"/>
      <c r="E80" s="44"/>
      <c r="F80" s="44"/>
      <c r="G80" s="44"/>
      <c r="H80" s="44"/>
      <c r="I80" s="44"/>
      <c r="J80" s="44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customHeight="1" spans="1:27">
      <c r="A81" s="1"/>
      <c r="B81" s="1"/>
      <c r="C81" s="14" t="s">
        <v>36</v>
      </c>
      <c r="D81" s="3" t="s">
        <v>12</v>
      </c>
      <c r="E81" s="94" t="s">
        <v>21</v>
      </c>
      <c r="F81" s="92" t="s">
        <v>22</v>
      </c>
      <c r="G81" s="92" t="s">
        <v>23</v>
      </c>
      <c r="H81" s="92" t="s">
        <v>24</v>
      </c>
      <c r="I81" s="92" t="s">
        <v>25</v>
      </c>
      <c r="J81" s="20" t="s">
        <v>33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customHeight="1" spans="1:27">
      <c r="A82" s="1"/>
      <c r="B82" s="1"/>
      <c r="C82" s="1"/>
      <c r="D82" s="4" t="s">
        <v>3</v>
      </c>
      <c r="E82" s="18">
        <v>3.97435897435897</v>
      </c>
      <c r="F82" s="18">
        <v>3.09278350515464</v>
      </c>
      <c r="G82" s="18">
        <v>3.01932367149758</v>
      </c>
      <c r="H82" s="18">
        <v>11.9047619047619</v>
      </c>
      <c r="I82" s="18">
        <v>4.16666666666667</v>
      </c>
      <c r="J82" s="22">
        <v>26.1578947224398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customHeight="1" spans="1:27">
      <c r="A83" s="1"/>
      <c r="B83" s="1"/>
      <c r="C83" s="1"/>
      <c r="D83" s="4" t="s">
        <v>37</v>
      </c>
      <c r="E83" s="18">
        <v>3.97435897435897</v>
      </c>
      <c r="F83" s="18">
        <v>3.09278350515464</v>
      </c>
      <c r="G83" s="18">
        <v>4.52875906929291</v>
      </c>
      <c r="H83" s="18">
        <v>12.7255605609427</v>
      </c>
      <c r="I83" s="18">
        <v>4.3859649122807</v>
      </c>
      <c r="J83" s="22">
        <v>28.7074270220299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customHeight="1" spans="1:27">
      <c r="A84" s="1"/>
      <c r="B84" s="1"/>
      <c r="C84" s="1"/>
      <c r="D84" s="4" t="s">
        <v>38</v>
      </c>
      <c r="E84" s="18">
        <v>6.2099358974359</v>
      </c>
      <c r="F84" s="18">
        <v>4.75812846946867</v>
      </c>
      <c r="G84" s="18">
        <v>5.53502697298083</v>
      </c>
      <c r="H84" s="18">
        <v>12.9311661019639</v>
      </c>
      <c r="I84" s="18">
        <v>6.7476383265857</v>
      </c>
      <c r="J84" s="22">
        <v>36.181895768435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customHeight="1" spans="1:27">
      <c r="A85" s="1"/>
      <c r="B85" s="1"/>
      <c r="C85" s="1"/>
      <c r="D85" s="4" t="s">
        <v>39</v>
      </c>
      <c r="E85" s="18">
        <v>13.2662591271863</v>
      </c>
      <c r="F85" s="18">
        <v>10.1236775946142</v>
      </c>
      <c r="G85" s="18">
        <v>10.0636854054197</v>
      </c>
      <c r="H85" s="18">
        <v>14.9839699906882</v>
      </c>
      <c r="I85" s="18">
        <v>19.8459950781932</v>
      </c>
      <c r="J85" s="22">
        <v>68.2835871961016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customHeight="1" spans="1:27">
      <c r="A86" s="1"/>
      <c r="B86" s="1"/>
      <c r="C86" s="1"/>
      <c r="D86" s="4" t="s">
        <v>40</v>
      </c>
      <c r="E86" s="18">
        <v>16.653601716277</v>
      </c>
      <c r="F86" s="18">
        <v>16.8727959910237</v>
      </c>
      <c r="G86" s="18">
        <v>16.85709448144</v>
      </c>
      <c r="H86" s="18">
        <v>14.9839699906882</v>
      </c>
      <c r="I86" s="18">
        <v>46.1212992753735</v>
      </c>
      <c r="J86" s="22">
        <v>111.488761454802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customHeight="1" spans="1:27">
      <c r="A87" s="1"/>
      <c r="B87" s="1"/>
      <c r="C87" s="1"/>
      <c r="D87" s="4" t="s">
        <v>41</v>
      </c>
      <c r="E87" s="18">
        <v>23.7908595946815</v>
      </c>
      <c r="F87" s="18">
        <v>42.1819899775592</v>
      </c>
      <c r="G87" s="18">
        <v>32.7068189395421</v>
      </c>
      <c r="H87" s="18">
        <v>15.6083020736336</v>
      </c>
      <c r="I87" s="18">
        <v>124.652160203712</v>
      </c>
      <c r="J87" s="22">
        <v>238.940130789128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customHeight="1" spans="1:27">
      <c r="A88" s="1"/>
      <c r="B88" s="1"/>
      <c r="C88" s="1"/>
      <c r="D88" s="1"/>
      <c r="E88" s="95"/>
      <c r="F88" s="95"/>
      <c r="G88" s="95"/>
      <c r="H88" s="95"/>
      <c r="I88" s="95"/>
      <c r="J88" s="9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customHeight="1" spans="1:27">
      <c r="A89" s="1"/>
      <c r="B89" s="1"/>
      <c r="C89" s="1"/>
      <c r="D89" s="1"/>
      <c r="E89" s="95"/>
      <c r="F89" s="95"/>
      <c r="G89" s="95"/>
      <c r="H89" s="95"/>
      <c r="I89" s="95"/>
      <c r="J89" s="9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customHeight="1" spans="1:27">
      <c r="A90" s="1"/>
      <c r="B90" s="1"/>
      <c r="C90" s="14" t="s">
        <v>42</v>
      </c>
      <c r="D90" s="3" t="s">
        <v>13</v>
      </c>
      <c r="E90" s="94" t="s">
        <v>21</v>
      </c>
      <c r="F90" s="96" t="s">
        <v>22</v>
      </c>
      <c r="G90" s="96" t="s">
        <v>23</v>
      </c>
      <c r="H90" s="96" t="s">
        <v>24</v>
      </c>
      <c r="I90" s="96" t="s">
        <v>25</v>
      </c>
      <c r="J90" s="22" t="s">
        <v>33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customHeight="1" spans="1:27">
      <c r="A91" s="1"/>
      <c r="B91" s="1"/>
      <c r="C91" s="5"/>
      <c r="D91" s="4" t="s">
        <v>3</v>
      </c>
      <c r="E91" s="15">
        <v>77500</v>
      </c>
      <c r="F91" s="15">
        <v>60000</v>
      </c>
      <c r="G91" s="15">
        <v>62500</v>
      </c>
      <c r="H91" s="15">
        <v>100000</v>
      </c>
      <c r="I91" s="15">
        <v>75000</v>
      </c>
      <c r="J91" s="20">
        <v>375000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customHeight="1" spans="1:27">
      <c r="A92" s="1"/>
      <c r="B92" s="1"/>
      <c r="C92" s="5"/>
      <c r="D92" s="4" t="s">
        <v>37</v>
      </c>
      <c r="E92" s="15">
        <v>77500</v>
      </c>
      <c r="F92" s="15">
        <v>60000</v>
      </c>
      <c r="G92" s="15">
        <v>93745.3127343633</v>
      </c>
      <c r="H92" s="15">
        <v>106894.708711919</v>
      </c>
      <c r="I92" s="15">
        <v>78947.3684210526</v>
      </c>
      <c r="J92" s="20">
        <v>417087.389867335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customHeight="1" spans="1:27">
      <c r="A93" s="1"/>
      <c r="B93" s="1"/>
      <c r="C93" s="5"/>
      <c r="D93" s="4" t="s">
        <v>38</v>
      </c>
      <c r="E93" s="15">
        <v>121093.75</v>
      </c>
      <c r="F93" s="15">
        <v>92307.6923076923</v>
      </c>
      <c r="G93" s="15">
        <v>114575.058340703</v>
      </c>
      <c r="H93" s="15">
        <v>108621.795256497</v>
      </c>
      <c r="I93" s="15">
        <v>121457.489878543</v>
      </c>
      <c r="J93" s="20">
        <v>558055.785783435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customHeight="1" spans="1:27">
      <c r="A94" s="1"/>
      <c r="B94" s="1"/>
      <c r="C94" s="5"/>
      <c r="D94" s="4" t="s">
        <v>39</v>
      </c>
      <c r="E94" s="15">
        <v>258692.052980132</v>
      </c>
      <c r="F94" s="15">
        <v>196399.345335516</v>
      </c>
      <c r="G94" s="15">
        <v>208318.287892187</v>
      </c>
      <c r="H94" s="15">
        <v>125865.347921781</v>
      </c>
      <c r="I94" s="15">
        <v>357227.911407478</v>
      </c>
      <c r="J94" s="20">
        <v>1146502.94553709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customHeight="1" spans="1:27">
      <c r="A95" s="1"/>
      <c r="B95" s="1"/>
      <c r="C95" s="5"/>
      <c r="D95" s="4" t="s">
        <v>40</v>
      </c>
      <c r="E95" s="15">
        <v>324745.233467402</v>
      </c>
      <c r="F95" s="15">
        <v>327332.242225859</v>
      </c>
      <c r="G95" s="15">
        <v>348941.855765808</v>
      </c>
      <c r="H95" s="15">
        <v>125865.347921781</v>
      </c>
      <c r="I95" s="15">
        <v>830183.386956723</v>
      </c>
      <c r="J95" s="20">
        <v>1957068.06633757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customHeight="1" spans="1:27">
      <c r="A96" s="1"/>
      <c r="B96" s="1"/>
      <c r="C96" s="5"/>
      <c r="D96" s="5"/>
      <c r="E96" s="44"/>
      <c r="F96" s="44"/>
      <c r="G96" s="44"/>
      <c r="H96" s="44"/>
      <c r="I96" s="44"/>
      <c r="J96" s="44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customHeight="1" spans="1:27">
      <c r="A97" s="1"/>
      <c r="B97" s="1"/>
      <c r="C97" s="5"/>
      <c r="D97" s="5"/>
      <c r="E97" s="44"/>
      <c r="F97" s="44"/>
      <c r="G97" s="44"/>
      <c r="H97" s="44"/>
      <c r="I97" s="44"/>
      <c r="J97" s="4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customHeight="1" spans="1:27">
      <c r="A98" s="1"/>
      <c r="B98" s="1"/>
      <c r="C98" s="14" t="s">
        <v>36</v>
      </c>
      <c r="D98" s="3" t="s">
        <v>13</v>
      </c>
      <c r="E98" s="94" t="s">
        <v>21</v>
      </c>
      <c r="F98" s="92" t="s">
        <v>22</v>
      </c>
      <c r="G98" s="92" t="s">
        <v>23</v>
      </c>
      <c r="H98" s="92" t="s">
        <v>24</v>
      </c>
      <c r="I98" s="92" t="s">
        <v>25</v>
      </c>
      <c r="J98" s="20" t="s">
        <v>33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customHeight="1" spans="1:27">
      <c r="A99" s="1"/>
      <c r="B99" s="1"/>
      <c r="C99" s="1"/>
      <c r="D99" s="4" t="s">
        <v>3</v>
      </c>
      <c r="E99" s="18">
        <v>3.97435897435897</v>
      </c>
      <c r="F99" s="18">
        <v>3.09278350515464</v>
      </c>
      <c r="G99" s="18">
        <v>3.01932367149758</v>
      </c>
      <c r="H99" s="18">
        <v>11.9047619047619</v>
      </c>
      <c r="I99" s="18">
        <v>4.16666666666667</v>
      </c>
      <c r="J99" s="22">
        <v>26.1578947224398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customHeight="1" spans="1:27">
      <c r="A100" s="1"/>
      <c r="B100" s="1"/>
      <c r="C100" s="1"/>
      <c r="D100" s="4" t="s">
        <v>37</v>
      </c>
      <c r="E100" s="18">
        <v>3.97435897435897</v>
      </c>
      <c r="F100" s="18">
        <v>3.09278350515464</v>
      </c>
      <c r="G100" s="18">
        <v>4.52875906929291</v>
      </c>
      <c r="H100" s="18">
        <v>12.7255605609427</v>
      </c>
      <c r="I100" s="18">
        <v>4.3859649122807</v>
      </c>
      <c r="J100" s="22">
        <v>28.7074270220299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customHeight="1" spans="1:27">
      <c r="A101" s="1"/>
      <c r="B101" s="1"/>
      <c r="C101" s="1"/>
      <c r="D101" s="4" t="s">
        <v>38</v>
      </c>
      <c r="E101" s="18">
        <v>6.2099358974359</v>
      </c>
      <c r="F101" s="18">
        <v>4.75812846946867</v>
      </c>
      <c r="G101" s="18">
        <v>5.53502697298083</v>
      </c>
      <c r="H101" s="18">
        <v>12.9311661019639</v>
      </c>
      <c r="I101" s="18">
        <v>6.7476383265857</v>
      </c>
      <c r="J101" s="22">
        <v>36.181895768435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customHeight="1" spans="1:27">
      <c r="A102" s="1"/>
      <c r="B102" s="1"/>
      <c r="C102" s="1"/>
      <c r="D102" s="4" t="s">
        <v>39</v>
      </c>
      <c r="E102" s="18">
        <v>13.2662591271863</v>
      </c>
      <c r="F102" s="18">
        <v>10.1236775946142</v>
      </c>
      <c r="G102" s="18">
        <v>10.0636854054197</v>
      </c>
      <c r="H102" s="18">
        <v>14.9839699906882</v>
      </c>
      <c r="I102" s="18">
        <v>19.8459950781932</v>
      </c>
      <c r="J102" s="22">
        <v>68.2835871961016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customHeight="1" spans="1:27">
      <c r="A103" s="1"/>
      <c r="B103" s="1"/>
      <c r="C103" s="1"/>
      <c r="D103" s="4" t="s">
        <v>40</v>
      </c>
      <c r="E103" s="18">
        <v>16.653601716277</v>
      </c>
      <c r="F103" s="18">
        <v>16.8727959910237</v>
      </c>
      <c r="G103" s="18">
        <v>16.85709448144</v>
      </c>
      <c r="H103" s="18">
        <v>14.9839699906882</v>
      </c>
      <c r="I103" s="18">
        <v>46.1212992753735</v>
      </c>
      <c r="J103" s="22">
        <v>111.488761454802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customHeight="1" spans="1:27">
      <c r="A104" s="1"/>
      <c r="B104" s="1"/>
      <c r="C104" s="1"/>
      <c r="D104" s="4" t="s">
        <v>41</v>
      </c>
      <c r="E104" s="18">
        <v>23.7908595946815</v>
      </c>
      <c r="F104" s="18">
        <v>42.1819899775592</v>
      </c>
      <c r="G104" s="18">
        <v>32.7068189395421</v>
      </c>
      <c r="H104" s="18">
        <v>15.6083020736336</v>
      </c>
      <c r="I104" s="18">
        <v>124.652160203712</v>
      </c>
      <c r="J104" s="22">
        <v>238.940130789128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customHeight="1" spans="1:27">
      <c r="A105" s="1"/>
      <c r="B105" s="1"/>
      <c r="C105" s="1"/>
      <c r="D105" s="1"/>
      <c r="E105" s="95"/>
      <c r="F105" s="95"/>
      <c r="G105" s="95"/>
      <c r="H105" s="95"/>
      <c r="I105" s="95"/>
      <c r="J105" s="95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customHeight="1" spans="1:27">
      <c r="A106" s="1"/>
      <c r="B106" s="1"/>
      <c r="C106" s="1"/>
      <c r="D106" s="1"/>
      <c r="E106" s="95"/>
      <c r="F106" s="95"/>
      <c r="G106" s="95"/>
      <c r="H106" s="95"/>
      <c r="I106" s="95"/>
      <c r="J106" s="95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customHeight="1" spans="1:27">
      <c r="A107" s="1"/>
      <c r="B107" s="1"/>
      <c r="C107" s="1"/>
      <c r="D107" s="1"/>
      <c r="E107" s="95"/>
      <c r="F107" s="95"/>
      <c r="G107" s="95"/>
      <c r="H107" s="95"/>
      <c r="I107" s="95"/>
      <c r="J107" s="95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customHeight="1" spans="1:27">
      <c r="A108" s="1"/>
      <c r="B108" s="1"/>
      <c r="C108" s="1"/>
      <c r="D108" s="1"/>
      <c r="E108" s="95"/>
      <c r="F108" s="95"/>
      <c r="G108" s="95"/>
      <c r="H108" s="95"/>
      <c r="I108" s="95"/>
      <c r="J108" s="95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customHeight="1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customHeight="1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customHeight="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customHeight="1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customHeight="1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customHeight="1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customHeight="1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customHeight="1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customHeight="1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customHeight="1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customHeight="1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customHeight="1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customHeight="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customHeight="1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customHeight="1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customHeight="1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customHeight="1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customHeight="1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customHeight="1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customHeight="1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customHeight="1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customHeight="1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customHeight="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customHeight="1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customHeight="1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customHeight="1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customHeight="1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customHeight="1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customHeight="1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customHeight="1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customHeight="1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customHeight="1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customHeight="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customHeight="1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customHeight="1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customHeight="1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customHeight="1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customHeight="1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customHeight="1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customHeight="1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customHeight="1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customHeight="1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customHeight="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customHeight="1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customHeight="1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customHeight="1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customHeight="1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customHeight="1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customHeight="1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customHeight="1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customHeight="1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customHeight="1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customHeight="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customHeight="1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customHeight="1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customHeight="1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customHeight="1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customHeight="1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customHeight="1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customHeight="1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customHeight="1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customHeight="1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customHeight="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customHeight="1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customHeight="1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customHeight="1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customHeight="1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customHeight="1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customHeight="1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customHeight="1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customHeight="1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customHeight="1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customHeight="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customHeight="1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customHeight="1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customHeight="1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customHeight="1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customHeight="1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customHeight="1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customHeight="1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customHeight="1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customHeight="1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customHeight="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customHeight="1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customHeight="1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customHeight="1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customHeight="1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customHeight="1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customHeight="1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customHeight="1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customHeight="1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customHeight="1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customHeight="1" spans="1:2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customHeight="1" spans="1:2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customHeight="1" spans="1:2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customHeight="1" spans="1:2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customHeight="1" spans="1:2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customHeight="1" spans="1:2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customHeight="1" spans="1:2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customHeight="1" spans="1:2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customHeight="1" spans="1:2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customHeight="1" spans="1:2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customHeight="1" spans="1:2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customHeight="1" spans="1:2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customHeight="1" spans="1:2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customHeight="1" spans="1:2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customHeight="1" spans="1:2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customHeight="1" spans="1:2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customHeight="1" spans="1:2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customHeight="1" spans="1:2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customHeight="1" spans="1:2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customHeight="1" spans="1:2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customHeight="1" spans="1:2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customHeight="1" spans="1:2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customHeight="1" spans="1:2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customHeight="1" spans="1:2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customHeight="1" spans="1:2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customHeight="1" spans="1:2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customHeight="1" spans="1: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customHeight="1" spans="1:2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customHeight="1" spans="1:2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customHeight="1" spans="1:2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customHeight="1" spans="1:2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customHeight="1" spans="1:2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customHeight="1" spans="1:2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customHeight="1" spans="1:2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customHeight="1" spans="1:2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customHeight="1" spans="1:2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customHeight="1" spans="1:2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customHeight="1" spans="1:2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customHeight="1" spans="1:2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customHeight="1" spans="1:2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customHeight="1" spans="1:2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customHeight="1" spans="1:2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customHeight="1" spans="1:2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customHeight="1" spans="1:2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customHeight="1" spans="1:2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customHeight="1" spans="1:2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customHeight="1" spans="1:2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customHeight="1" spans="1:2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customHeight="1" spans="1:2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customHeight="1" spans="1:2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customHeight="1" spans="1:2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customHeight="1" spans="1:2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customHeight="1" spans="1:2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customHeight="1" spans="1:2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customHeight="1" spans="1:2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customHeight="1" spans="1:2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customHeight="1" spans="1:2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customHeight="1" spans="1:2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customHeight="1" spans="1:2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customHeight="1" spans="1:2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customHeight="1" spans="1:2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customHeight="1" spans="1:2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customHeight="1" spans="1:2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customHeight="1" spans="1:2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customHeight="1" spans="1:2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customHeight="1" spans="1:2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customHeight="1" spans="1:2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customHeight="1" spans="1:2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customHeight="1" spans="1:2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customHeight="1" spans="1:2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customHeight="1" spans="1:2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customHeight="1" spans="1:2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customHeight="1" spans="1:2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customHeight="1" spans="1:2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customHeight="1" spans="1:2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customHeight="1" spans="1:2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customHeight="1" spans="1:2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customHeight="1" spans="1:2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customHeight="1" spans="1:2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customHeight="1" spans="1:2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customHeight="1" spans="1:2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customHeight="1" spans="1:2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customHeight="1" spans="1:2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customHeight="1" spans="1:2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customHeight="1" spans="1:2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customHeight="1" spans="1:2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customHeight="1" spans="1:2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customHeight="1" spans="1:2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customHeight="1" spans="1:2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customHeight="1" spans="1:2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customHeight="1" spans="1:2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customHeight="1" spans="1:2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customHeight="1" spans="1:2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customHeight="1" spans="1:2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customHeight="1" spans="1:2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customHeight="1" spans="1:2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customHeight="1" spans="1:2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customHeight="1" spans="1:2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customHeight="1" spans="1:2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customHeight="1" spans="1:2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customHeight="1" spans="1:2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customHeight="1" spans="1:2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customHeight="1" spans="1:2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customHeight="1" spans="1:2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customHeight="1" spans="1:2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customHeight="1" spans="1:2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customHeight="1" spans="1:2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customHeight="1" spans="1:2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customHeight="1" spans="1:2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customHeight="1" spans="1:2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customHeight="1" spans="1:2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customHeight="1" spans="1:2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customHeight="1" spans="1:2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customHeight="1" spans="1:2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customHeight="1" spans="1:2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customHeight="1" spans="1:2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customHeight="1" spans="1:2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customHeight="1" spans="1:2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customHeight="1" spans="1:2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customHeight="1" spans="1:2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customHeight="1" spans="1:2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customHeight="1" spans="1:2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customHeight="1" spans="1:2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customHeight="1" spans="1:2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customHeight="1" spans="1:2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customHeight="1" spans="1:2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customHeight="1" spans="1: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customHeight="1" spans="1:2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customHeight="1" spans="1:2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customHeight="1" spans="1:2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customHeight="1" spans="1:2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customHeight="1" spans="1:2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customHeight="1" spans="1:2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customHeight="1" spans="1:2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customHeight="1" spans="1:2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customHeight="1" spans="1:2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customHeight="1" spans="1:2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customHeight="1" spans="1:2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customHeight="1" spans="1:2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customHeight="1" spans="1:2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customHeight="1" spans="1:2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customHeight="1" spans="1:2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customHeight="1" spans="1:2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customHeight="1" spans="1:2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customHeight="1" spans="1:2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customHeight="1" spans="1:2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customHeight="1" spans="1:2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customHeight="1" spans="1:2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customHeight="1" spans="1:2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customHeight="1" spans="1:2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customHeight="1" spans="1:2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customHeight="1" spans="1:2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customHeight="1" spans="1:2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customHeight="1" spans="1:2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customHeight="1" spans="1:2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customHeight="1" spans="1:2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customHeight="1" spans="1:2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customHeight="1" spans="1:2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customHeight="1" spans="1:2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customHeight="1" spans="1:2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customHeight="1" spans="1:2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customHeight="1" spans="1:2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customHeight="1" spans="1:2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customHeight="1" spans="1:2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customHeight="1" spans="1:2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customHeight="1" spans="1:2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customHeight="1" spans="1:2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customHeight="1" spans="1:2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customHeight="1" spans="1:2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customHeight="1" spans="1:2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customHeight="1" spans="1:2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customHeight="1" spans="1:2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customHeight="1" spans="1:2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customHeight="1" spans="1:2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customHeight="1" spans="1:2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customHeight="1" spans="1:2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customHeight="1" spans="1:2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customHeight="1" spans="1:2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customHeight="1" spans="1:2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customHeight="1" spans="1:2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customHeight="1" spans="1:2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customHeight="1" spans="1:2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customHeight="1" spans="1:2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customHeight="1" spans="1:2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customHeight="1" spans="1:2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customHeight="1" spans="1:2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customHeight="1" spans="1:2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customHeight="1" spans="1:2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customHeight="1" spans="1:2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customHeight="1" spans="1:2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customHeight="1" spans="1:2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customHeight="1" spans="1:2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customHeight="1" spans="1:2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customHeight="1" spans="1:2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customHeight="1" spans="1:2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customHeight="1" spans="1:2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customHeight="1" spans="1:2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customHeight="1" spans="1:2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customHeight="1" spans="1:2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customHeight="1" spans="1:2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customHeight="1" spans="1:2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customHeight="1" spans="1:2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customHeight="1" spans="1:2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customHeight="1" spans="1:2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customHeight="1" spans="1:2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customHeight="1" spans="1:2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customHeight="1" spans="1:2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customHeight="1" spans="1:2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customHeight="1" spans="1:2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customHeight="1" spans="1:2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customHeight="1" spans="1:2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customHeight="1" spans="1:2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customHeight="1" spans="1:2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customHeight="1" spans="1:2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customHeight="1" spans="1:2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customHeight="1" spans="1:2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customHeight="1" spans="1:2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customHeight="1" spans="1:2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customHeight="1" spans="1:2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customHeight="1" spans="1:2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customHeight="1" spans="1:2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customHeight="1" spans="1:2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customHeight="1" spans="1:2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customHeight="1" spans="1:2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customHeight="1" spans="1:2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customHeight="1" spans="1:2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customHeight="1" spans="1: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customHeight="1" spans="1:2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customHeight="1" spans="1:2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customHeight="1" spans="1:2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customHeight="1" spans="1:2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customHeight="1" spans="1:2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customHeight="1" spans="1:2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customHeight="1" spans="1:2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customHeight="1" spans="1:2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customHeight="1" spans="1:2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customHeight="1" spans="1:2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customHeight="1" spans="1:2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customHeight="1" spans="1:2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customHeight="1" spans="1:2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customHeight="1" spans="1:2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customHeight="1" spans="1:2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customHeight="1" spans="1:2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customHeight="1" spans="1:2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customHeight="1" spans="1:2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customHeight="1" spans="1:2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customHeight="1" spans="1:2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customHeight="1" spans="1:2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customHeight="1" spans="1:2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customHeight="1" spans="1:2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customHeight="1" spans="1:2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customHeight="1" spans="1:2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customHeight="1" spans="1:2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customHeight="1" spans="1:2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customHeight="1" spans="1:2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customHeight="1" spans="1:2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customHeight="1" spans="1:2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customHeight="1" spans="1:2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customHeight="1" spans="1:2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customHeight="1" spans="1:2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customHeight="1" spans="1:2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customHeight="1" spans="1:2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customHeight="1" spans="1:2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customHeight="1" spans="1:2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customHeight="1" spans="1:2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customHeight="1" spans="1:2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customHeight="1" spans="1:2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customHeight="1" spans="1:2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customHeight="1" spans="1:2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customHeight="1" spans="1:2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customHeight="1" spans="1:2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customHeight="1" spans="1:2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customHeight="1" spans="1:2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customHeight="1" spans="1:2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customHeight="1" spans="1:2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customHeight="1" spans="1:2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customHeight="1" spans="1:2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customHeight="1" spans="1:2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customHeight="1" spans="1:2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customHeight="1" spans="1:2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customHeight="1" spans="1:2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customHeight="1" spans="1:2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customHeight="1" spans="1:2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customHeight="1" spans="1:2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customHeight="1" spans="1:2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customHeight="1" spans="1:2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customHeight="1" spans="1:2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customHeight="1" spans="1:2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customHeight="1" spans="1:2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customHeight="1" spans="1:2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customHeight="1" spans="1:2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customHeight="1" spans="1:2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customHeight="1" spans="1:2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customHeight="1" spans="1:2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customHeight="1" spans="1:2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customHeight="1" spans="1:2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customHeight="1" spans="1:2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customHeight="1" spans="1:2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customHeight="1" spans="1:2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customHeight="1" spans="1:2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customHeight="1" spans="1:2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customHeight="1" spans="1:2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customHeight="1" spans="1:2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customHeight="1" spans="1:2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customHeight="1" spans="1:2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customHeight="1" spans="1:2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customHeight="1" spans="1:2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customHeight="1" spans="1:2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customHeight="1" spans="1:2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customHeight="1" spans="1:2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customHeight="1" spans="1:2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customHeight="1" spans="1:2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customHeight="1" spans="1:2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customHeight="1" spans="1:2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customHeight="1" spans="1:2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customHeight="1" spans="1:2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customHeight="1" spans="1:2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customHeight="1" spans="1:2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customHeight="1" spans="1:2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customHeight="1" spans="1:2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customHeight="1" spans="1:2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customHeight="1" spans="1:2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customHeight="1" spans="1:2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customHeight="1" spans="1:2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customHeight="1" spans="1:2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customHeight="1" spans="1:2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customHeight="1" spans="1: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customHeight="1" spans="1:2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customHeight="1" spans="1:2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customHeight="1" spans="1:2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customHeight="1" spans="1:2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customHeight="1" spans="1:2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customHeight="1" spans="1:2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customHeight="1" spans="1:2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customHeight="1" spans="1:2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customHeight="1" spans="1:2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customHeight="1" spans="1:2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customHeight="1" spans="1:2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customHeight="1" spans="1:2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customHeight="1" spans="1:2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customHeight="1" spans="1:2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customHeight="1" spans="1:2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customHeight="1" spans="1:2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customHeight="1" spans="1:2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customHeight="1" spans="1:2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customHeight="1" spans="1:2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customHeight="1" spans="1:2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customHeight="1" spans="1:2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customHeight="1" spans="1:2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customHeight="1" spans="1:2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customHeight="1" spans="1:2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customHeight="1" spans="1:2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customHeight="1" spans="1:2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customHeight="1" spans="1:2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customHeight="1" spans="1:2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customHeight="1" spans="1:2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customHeight="1" spans="1:2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customHeight="1" spans="1:2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customHeight="1" spans="1:2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customHeight="1" spans="1:2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customHeight="1" spans="1:2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customHeight="1" spans="1:2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customHeight="1" spans="1:2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customHeight="1" spans="1:2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customHeight="1" spans="1:2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customHeight="1" spans="1:2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customHeight="1" spans="1:2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customHeight="1" spans="1:2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customHeight="1" spans="1:2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customHeight="1" spans="1:2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customHeight="1" spans="1:2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customHeight="1" spans="1:2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customHeight="1" spans="1:2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customHeight="1" spans="1:2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customHeight="1" spans="1:2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customHeight="1" spans="1:2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customHeight="1" spans="1:2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customHeight="1" spans="1:2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customHeight="1" spans="1:2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customHeight="1" spans="1:2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customHeight="1" spans="1:2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customHeight="1" spans="1:2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customHeight="1" spans="1:2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customHeight="1" spans="1:2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customHeight="1" spans="1:2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customHeight="1" spans="1:2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customHeight="1" spans="1:2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customHeight="1" spans="1:2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customHeight="1" spans="1:2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customHeight="1" spans="1:2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customHeight="1" spans="1:2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customHeight="1" spans="1:2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customHeight="1" spans="1:2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customHeight="1" spans="1:2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customHeight="1" spans="1:2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customHeight="1" spans="1:2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customHeight="1" spans="1:2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customHeight="1" spans="1:2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customHeight="1" spans="1:2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customHeight="1" spans="1:2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customHeight="1" spans="1:2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customHeight="1" spans="1:2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customHeight="1" spans="1:2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customHeight="1" spans="1:2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customHeight="1" spans="1:2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customHeight="1" spans="1:2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customHeight="1" spans="1:2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customHeight="1" spans="1:2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customHeight="1" spans="1:2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customHeight="1" spans="1:2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customHeight="1" spans="1:2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customHeight="1" spans="1:2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customHeight="1" spans="1:2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customHeight="1" spans="1:2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customHeight="1" spans="1:2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customHeight="1" spans="1:2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customHeight="1" spans="1:2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customHeight="1" spans="1:2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customHeight="1" spans="1:2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customHeight="1" spans="1:2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customHeight="1" spans="1:2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customHeight="1" spans="1:2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customHeight="1" spans="1:2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customHeight="1" spans="1:2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customHeight="1" spans="1:2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customHeight="1" spans="1:2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customHeight="1" spans="1: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customHeight="1" spans="1:2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customHeight="1" spans="1:2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customHeight="1" spans="1:2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customHeight="1" spans="1:2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customHeight="1" spans="1:2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customHeight="1" spans="1:2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customHeight="1" spans="1:2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customHeight="1" spans="1:2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customHeight="1" spans="1:2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customHeight="1" spans="1:2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customHeight="1" spans="1:2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customHeight="1" spans="1:2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customHeight="1" spans="1:2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customHeight="1" spans="1:2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customHeight="1" spans="1:2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customHeight="1" spans="1:2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customHeight="1" spans="1:2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customHeight="1" spans="1:2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customHeight="1" spans="1:2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customHeight="1" spans="1:2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customHeight="1" spans="1:2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customHeight="1" spans="1:2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customHeight="1" spans="1:2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customHeight="1" spans="1:2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customHeight="1" spans="1:2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customHeight="1" spans="1:2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customHeight="1" spans="1:2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customHeight="1" spans="1:2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customHeight="1" spans="1:2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customHeight="1" spans="1:2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customHeight="1" spans="1:2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customHeight="1" spans="1:2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customHeight="1" spans="1:2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customHeight="1" spans="1:2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customHeight="1" spans="1:2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customHeight="1" spans="1:2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customHeight="1" spans="1:2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customHeight="1" spans="1:2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customHeight="1" spans="1:2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customHeight="1" spans="1:2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customHeight="1" spans="1:2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customHeight="1" spans="1:2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customHeight="1" spans="1:2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customHeight="1" spans="1:2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customHeight="1" spans="1:2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customHeight="1" spans="1:2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customHeight="1" spans="1:2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customHeight="1" spans="1:2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customHeight="1" spans="1:2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customHeight="1" spans="1:2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customHeight="1" spans="1:2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customHeight="1" spans="1:2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customHeight="1" spans="1:2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customHeight="1" spans="1:2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customHeight="1" spans="1:2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customHeight="1" spans="1:2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customHeight="1" spans="1:2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customHeight="1" spans="1:2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customHeight="1" spans="1:2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customHeight="1" spans="1:2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customHeight="1" spans="1:2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customHeight="1" spans="1:2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customHeight="1" spans="1:2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customHeight="1" spans="1:2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customHeight="1" spans="1:2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customHeight="1" spans="1:2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customHeight="1" spans="1:2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customHeight="1" spans="1:2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customHeight="1" spans="1:2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customHeight="1" spans="1:2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customHeight="1" spans="1:2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customHeight="1" spans="1:2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customHeight="1" spans="1:2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customHeight="1" spans="1:2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customHeight="1" spans="1:2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customHeight="1" spans="1:2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customHeight="1" spans="1:2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customHeight="1" spans="1:2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customHeight="1" spans="1:2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customHeight="1" spans="1:2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customHeight="1" spans="1:2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customHeight="1" spans="1:2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customHeight="1" spans="1:2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customHeight="1" spans="1:2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customHeight="1" spans="1:2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customHeight="1" spans="1:2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customHeight="1" spans="1:2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customHeight="1" spans="1:2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customHeight="1" spans="1:2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customHeight="1" spans="1:2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customHeight="1" spans="1:2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customHeight="1" spans="1:2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customHeight="1" spans="1:2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customHeight="1" spans="1:2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customHeight="1" spans="1:2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customHeight="1" spans="1:2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customHeight="1" spans="1:2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customHeight="1" spans="1:2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customHeight="1" spans="1:2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customHeight="1" spans="1: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customHeight="1" spans="1:2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customHeight="1" spans="1:2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customHeight="1" spans="1:2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customHeight="1" spans="1:2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customHeight="1" spans="1:2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customHeight="1" spans="1:2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customHeight="1" spans="1:2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customHeight="1" spans="1:2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customHeight="1" spans="1:2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customHeight="1" spans="1:2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customHeight="1" spans="1:2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customHeight="1" spans="1:2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customHeight="1" spans="1:2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customHeight="1" spans="1:2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customHeight="1" spans="1:2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customHeight="1" spans="1:2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customHeight="1" spans="1:2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customHeight="1" spans="1:2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customHeight="1" spans="1:2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customHeight="1" spans="1:2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customHeight="1" spans="1:2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customHeight="1" spans="1:2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customHeight="1" spans="1:2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customHeight="1" spans="1:2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customHeight="1" spans="1:2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customHeight="1" spans="1:2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customHeight="1" spans="1:2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customHeight="1" spans="1:2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customHeight="1" spans="1:2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customHeight="1" spans="1:2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customHeight="1" spans="1:2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customHeight="1" spans="1:2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customHeight="1" spans="1:2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customHeight="1" spans="1:2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customHeight="1" spans="1:2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customHeight="1" spans="1:2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customHeight="1" spans="1:2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customHeight="1" spans="1:2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customHeight="1" spans="1:2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customHeight="1" spans="1:2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customHeight="1" spans="1:2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customHeight="1" spans="1:2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customHeight="1" spans="1:2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customHeight="1" spans="1:2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customHeight="1" spans="1:2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customHeight="1" spans="1:2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customHeight="1" spans="1:2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customHeight="1" spans="1:2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customHeight="1" spans="1:2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customHeight="1" spans="1:2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customHeight="1" spans="1:2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customHeight="1" spans="1:2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customHeight="1" spans="1:2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customHeight="1" spans="1:2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customHeight="1" spans="1:2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customHeight="1" spans="1:2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customHeight="1" spans="1:2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customHeight="1" spans="1:2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customHeight="1" spans="1:2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customHeight="1" spans="1:2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customHeight="1" spans="1:2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customHeight="1" spans="1:2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customHeight="1" spans="1:2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customHeight="1" spans="1:2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customHeight="1" spans="1:2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customHeight="1" spans="1:2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customHeight="1" spans="1:2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customHeight="1" spans="1:2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customHeight="1" spans="1:2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customHeight="1" spans="1:2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customHeight="1" spans="1:2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customHeight="1" spans="1:2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customHeight="1" spans="1:2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customHeight="1" spans="1:2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customHeight="1" spans="1:2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customHeight="1" spans="1:2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customHeight="1" spans="1:2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customHeight="1" spans="1:2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customHeight="1" spans="1:2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customHeight="1" spans="1:2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customHeight="1" spans="1:2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customHeight="1" spans="1:2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customHeight="1" spans="1:2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customHeight="1" spans="1:2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customHeight="1" spans="1:2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customHeight="1" spans="1:2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customHeight="1" spans="1:2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customHeight="1" spans="1:2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customHeight="1" spans="1:2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customHeight="1" spans="1:2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customHeight="1" spans="1:2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customHeight="1" spans="1:2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customHeight="1" spans="1:2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customHeight="1" spans="1:2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customHeight="1" spans="1:2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customHeight="1" spans="1:2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customHeight="1" spans="1:2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customHeight="1" spans="1:2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customHeight="1" spans="1:2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customHeight="1" spans="1: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customHeight="1" spans="1:2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customHeight="1" spans="1:2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customHeight="1" spans="1:2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customHeight="1" spans="1:2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customHeight="1" spans="1:2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customHeight="1" spans="1:2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customHeight="1" spans="1:2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customHeight="1" spans="1:2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customHeight="1" spans="1:2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customHeight="1" spans="1:2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customHeight="1" spans="1:2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customHeight="1" spans="1:2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customHeight="1" spans="1:2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customHeight="1" spans="1:2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customHeight="1" spans="1:2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customHeight="1" spans="1:2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customHeight="1" spans="1:2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customHeight="1" spans="1:2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customHeight="1" spans="1:2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customHeight="1" spans="1:2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customHeight="1" spans="1:2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customHeight="1" spans="1:2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customHeight="1" spans="1:2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customHeight="1" spans="1:2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customHeight="1" spans="1:2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customHeight="1" spans="1:2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customHeight="1" spans="1:2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customHeight="1" spans="1:2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customHeight="1" spans="1:2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customHeight="1" spans="1:2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customHeight="1" spans="1:2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customHeight="1" spans="1:2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customHeight="1" spans="1:2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customHeight="1" spans="1:2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customHeight="1" spans="1:2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customHeight="1" spans="1:2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customHeight="1" spans="1:2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customHeight="1" spans="1:2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customHeight="1" spans="1:2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customHeight="1" spans="1:2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customHeight="1" spans="1:2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customHeight="1" spans="1:2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customHeight="1" spans="1:2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customHeight="1" spans="1:2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customHeight="1" spans="1:2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customHeight="1" spans="1:2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customHeight="1" spans="1:2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customHeight="1" spans="1:2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customHeight="1" spans="1:2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customHeight="1" spans="1:2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customHeight="1" spans="1:2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customHeight="1" spans="1:2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customHeight="1" spans="1:2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customHeight="1" spans="1:2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customHeight="1" spans="1:2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customHeight="1" spans="1:2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customHeight="1" spans="1:2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customHeight="1" spans="1:2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customHeight="1" spans="1:2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customHeight="1" spans="1:2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customHeight="1" spans="1:2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customHeight="1" spans="1:2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customHeight="1" spans="1:2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customHeight="1" spans="1:2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customHeight="1" spans="1:2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customHeight="1" spans="1:2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customHeight="1" spans="1:2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customHeight="1" spans="1:2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customHeight="1" spans="1:2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customHeight="1" spans="1:2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customHeight="1" spans="1:2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customHeight="1" spans="1:2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customHeight="1" spans="1:2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customHeight="1" spans="1:2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customHeight="1" spans="1:2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customHeight="1" spans="1:2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customHeight="1" spans="1:2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customHeight="1" spans="1:2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customHeight="1" spans="1:2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customHeight="1" spans="1:2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customHeight="1" spans="1:2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customHeight="1" spans="1:2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customHeight="1" spans="1:2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customHeight="1" spans="1:2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customHeight="1" spans="1:2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customHeight="1" spans="1:2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customHeight="1" spans="1:2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customHeight="1" spans="1:2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customHeight="1" spans="1:2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customHeight="1" spans="1:2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customHeight="1" spans="1:2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customHeight="1" spans="1:2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customHeight="1" spans="1:2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customHeight="1" spans="1:2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customHeight="1" spans="1:2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customHeight="1" spans="1:2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customHeight="1" spans="1:2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customHeight="1" spans="1:2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customHeight="1" spans="1:2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customHeight="1" spans="1: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customHeight="1" spans="1:2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customHeight="1" spans="1:2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customHeight="1" spans="1:2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customHeight="1" spans="1:2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customHeight="1" spans="1:2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customHeight="1" spans="1:2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customHeight="1" spans="1:2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customHeight="1" spans="1:2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customHeight="1" spans="1:2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customHeight="1" spans="1:2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customHeight="1" spans="1:2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customHeight="1" spans="1:2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customHeight="1" spans="1:2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customHeight="1" spans="1:2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customHeight="1" spans="1:2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customHeight="1" spans="1:2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customHeight="1" spans="1:2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customHeight="1" spans="1:2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customHeight="1" spans="1:2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customHeight="1" spans="1:2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customHeight="1" spans="1:2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customHeight="1" spans="1:2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customHeight="1" spans="1:2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customHeight="1" spans="1:2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customHeight="1" spans="1:2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customHeight="1" spans="1:2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customHeight="1" spans="1:2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customHeight="1" spans="1:2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customHeight="1" spans="1:2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customHeight="1" spans="1:2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customHeight="1" spans="1:2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customHeight="1" spans="1:2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customHeight="1" spans="1:2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customHeight="1" spans="1:2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customHeight="1" spans="1:2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customHeight="1" spans="1:2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customHeight="1" spans="1:2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customHeight="1" spans="1:2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customHeight="1" spans="1:27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</row>
    <row r="967" customHeight="1" spans="1:2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</row>
    <row r="968" customHeight="1" spans="1:27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</row>
    <row r="969" customHeight="1" spans="1:27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</row>
    <row r="970" customHeight="1" spans="1:27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  <c r="AA970" s="99"/>
    </row>
    <row r="971" customHeight="1" spans="1:27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  <c r="AA971" s="99"/>
    </row>
    <row r="972" customHeight="1" spans="1:27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  <c r="AA972" s="99"/>
    </row>
    <row r="973" customHeight="1" spans="1:27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  <c r="AA973" s="99"/>
    </row>
    <row r="974" customHeight="1" spans="1:27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  <c r="AA974" s="99"/>
    </row>
    <row r="975" customHeight="1" spans="1:27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  <c r="AA975" s="99"/>
    </row>
    <row r="976" customHeight="1" spans="1:27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  <c r="AA976" s="99"/>
    </row>
    <row r="977" customHeight="1" spans="1:27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  <c r="AA977" s="99"/>
    </row>
    <row r="978" customHeight="1" spans="1:27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  <c r="AA978" s="99"/>
    </row>
    <row r="979" customHeight="1" spans="1:27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  <c r="AA979" s="99"/>
    </row>
    <row r="980" customHeight="1" spans="1:27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  <c r="AA980" s="99"/>
    </row>
    <row r="981" customHeight="1" spans="1:27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  <c r="AA981" s="99"/>
    </row>
    <row r="982" customHeight="1" spans="1:27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  <c r="AA982" s="99"/>
    </row>
    <row r="983" customHeight="1" spans="1:27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  <c r="AA983" s="99"/>
    </row>
    <row r="984" customHeight="1" spans="1:27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  <c r="AA984" s="99"/>
    </row>
    <row r="985" customHeight="1" spans="1:27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  <c r="AA985" s="99"/>
    </row>
    <row r="986" customHeight="1" spans="1:27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  <c r="AA986" s="99"/>
    </row>
    <row r="987" customHeight="1" spans="1:27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  <c r="AA987" s="99"/>
    </row>
    <row r="988" customHeight="1" spans="1:27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  <c r="AA988" s="99"/>
    </row>
    <row r="989" customHeight="1" spans="1:27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  <c r="AA989" s="99"/>
    </row>
    <row r="990" customHeight="1" spans="1:27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  <c r="AA990" s="99"/>
    </row>
    <row r="991" customHeight="1" spans="1:27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  <c r="AA991" s="99"/>
    </row>
    <row r="992" customHeight="1" spans="1:27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  <c r="AA992" s="99"/>
    </row>
    <row r="993" customHeight="1" spans="1:27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  <c r="AA993" s="99"/>
    </row>
    <row r="994" customHeight="1" spans="1:27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  <c r="AA994" s="99"/>
    </row>
    <row r="995" customHeight="1" spans="1:27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  <c r="AA995" s="99"/>
    </row>
    <row r="996" customHeight="1" spans="1:27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  <c r="AA996" s="99"/>
    </row>
    <row r="997" customHeight="1" spans="1:27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  <c r="AA997" s="99"/>
    </row>
    <row r="998" customHeight="1" spans="1:27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  <c r="AA998" s="99"/>
    </row>
    <row r="999" customHeight="1" spans="1:27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  <c r="AA999" s="99"/>
    </row>
    <row r="1000" customHeight="1" spans="1:27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  <c r="AA1000" s="99"/>
    </row>
    <row r="1001" customHeight="1" spans="1:27">
      <c r="A1001" s="99"/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  <c r="S1001" s="99"/>
      <c r="T1001" s="99"/>
      <c r="U1001" s="99"/>
      <c r="V1001" s="99"/>
      <c r="W1001" s="99"/>
      <c r="X1001" s="99"/>
      <c r="Y1001" s="99"/>
      <c r="Z1001" s="99"/>
      <c r="AA1001" s="99"/>
    </row>
    <row r="1002" customHeight="1" spans="1:27">
      <c r="A1002" s="99"/>
      <c r="B1002" s="99"/>
      <c r="C1002" s="99"/>
      <c r="D1002" s="99"/>
      <c r="E1002" s="99"/>
      <c r="F1002" s="99"/>
      <c r="G1002" s="99"/>
      <c r="H1002" s="99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  <c r="S1002" s="99"/>
      <c r="T1002" s="99"/>
      <c r="U1002" s="99"/>
      <c r="V1002" s="99"/>
      <c r="W1002" s="99"/>
      <c r="X1002" s="99"/>
      <c r="Y1002" s="99"/>
      <c r="Z1002" s="99"/>
      <c r="AA1002" s="99"/>
    </row>
    <row r="1003" customHeight="1" spans="1:27">
      <c r="A1003" s="99"/>
      <c r="B1003" s="99"/>
      <c r="C1003" s="99"/>
      <c r="D1003" s="99"/>
      <c r="E1003" s="99"/>
      <c r="F1003" s="99"/>
      <c r="G1003" s="99"/>
      <c r="H1003" s="99"/>
      <c r="I1003" s="99"/>
      <c r="J1003" s="99"/>
      <c r="K1003" s="99"/>
      <c r="L1003" s="99"/>
      <c r="M1003" s="99"/>
      <c r="N1003" s="99"/>
      <c r="O1003" s="99"/>
      <c r="P1003" s="99"/>
      <c r="Q1003" s="99"/>
      <c r="R1003" s="99"/>
      <c r="S1003" s="99"/>
      <c r="T1003" s="99"/>
      <c r="U1003" s="99"/>
      <c r="V1003" s="99"/>
      <c r="W1003" s="99"/>
      <c r="X1003" s="99"/>
      <c r="Y1003" s="99"/>
      <c r="Z1003" s="99"/>
      <c r="AA1003" s="99"/>
    </row>
    <row r="1004" customHeight="1" spans="1:27">
      <c r="A1004" s="99"/>
      <c r="B1004" s="99"/>
      <c r="C1004" s="99"/>
      <c r="D1004" s="99"/>
      <c r="E1004" s="99"/>
      <c r="F1004" s="99"/>
      <c r="G1004" s="99"/>
      <c r="H1004" s="99"/>
      <c r="I1004" s="99"/>
      <c r="J1004" s="99"/>
      <c r="K1004" s="99"/>
      <c r="L1004" s="99"/>
      <c r="M1004" s="99"/>
      <c r="N1004" s="99"/>
      <c r="O1004" s="99"/>
      <c r="P1004" s="99"/>
      <c r="Q1004" s="99"/>
      <c r="R1004" s="99"/>
      <c r="S1004" s="99"/>
      <c r="T1004" s="99"/>
      <c r="U1004" s="99"/>
      <c r="V1004" s="99"/>
      <c r="W1004" s="99"/>
      <c r="X1004" s="99"/>
      <c r="Y1004" s="99"/>
      <c r="Z1004" s="99"/>
      <c r="AA1004" s="99"/>
    </row>
  </sheetData>
  <mergeCells count="3">
    <mergeCell ref="D1:J1"/>
    <mergeCell ref="D11:J11"/>
    <mergeCell ref="D36:J36"/>
  </mergeCells>
  <printOptions horizontalCentered="1" gridLines="1"/>
  <pageMargins left="0.7" right="0.7" top="0.75" bottom="0.75" header="0" footer="0"/>
  <pageSetup paperSize="1" fitToHeight="0" pageOrder="overThenDown" orientation="landscape" cellComments="atEnd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1335"/>
  <sheetViews>
    <sheetView workbookViewId="0">
      <selection activeCell="A1" sqref="A1"/>
    </sheetView>
  </sheetViews>
  <sheetFormatPr defaultColWidth="12.6339285714286" defaultRowHeight="15.75" customHeight="1"/>
  <cols>
    <col min="3" max="3" width="15.5" customWidth="1"/>
    <col min="4" max="4" width="17" customWidth="1"/>
  </cols>
  <sheetData>
    <row r="1" customHeight="1" spans="1:28">
      <c r="A1" s="50"/>
      <c r="B1" s="50"/>
      <c r="C1" s="51" t="s">
        <v>44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 customHeight="1" spans="1:28">
      <c r="A2" s="50"/>
      <c r="B2" s="50"/>
      <c r="C2" s="52" t="s">
        <v>45</v>
      </c>
      <c r="D2" s="53" t="s">
        <v>46</v>
      </c>
      <c r="E2" s="72"/>
      <c r="F2" s="72"/>
      <c r="G2" s="72"/>
      <c r="H2" s="72"/>
      <c r="I2" s="76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customHeight="1" spans="1:28">
      <c r="A3" s="50"/>
      <c r="B3" s="50"/>
      <c r="C3" s="54"/>
      <c r="D3" s="55" t="s">
        <v>47</v>
      </c>
      <c r="E3" s="55" t="s">
        <v>48</v>
      </c>
      <c r="F3" s="55" t="s">
        <v>49</v>
      </c>
      <c r="G3" s="55" t="s">
        <v>50</v>
      </c>
      <c r="H3" s="55" t="s">
        <v>51</v>
      </c>
      <c r="I3" s="77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</row>
    <row r="4" customHeight="1" spans="1:28">
      <c r="A4" s="50"/>
      <c r="B4" s="50"/>
      <c r="C4" s="56" t="s">
        <v>21</v>
      </c>
      <c r="D4" s="57">
        <v>45000</v>
      </c>
      <c r="E4" s="57">
        <v>60000</v>
      </c>
      <c r="F4" s="57">
        <v>60000</v>
      </c>
      <c r="G4" s="57">
        <v>60000</v>
      </c>
      <c r="H4" s="55">
        <v>225000</v>
      </c>
      <c r="I4" s="78">
        <v>0.19</v>
      </c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</row>
    <row r="5" customHeight="1" spans="1:28">
      <c r="A5" s="50"/>
      <c r="B5" s="50"/>
      <c r="C5" s="56" t="s">
        <v>52</v>
      </c>
      <c r="D5" s="57">
        <v>65000</v>
      </c>
      <c r="E5" s="57">
        <v>65000</v>
      </c>
      <c r="F5" s="57">
        <v>85000</v>
      </c>
      <c r="G5" s="57">
        <v>85000</v>
      </c>
      <c r="H5" s="55">
        <v>300000</v>
      </c>
      <c r="I5" s="78">
        <v>0.25</v>
      </c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 customHeight="1" spans="1:28">
      <c r="A6" s="50"/>
      <c r="B6" s="50"/>
      <c r="C6" s="56" t="s">
        <v>22</v>
      </c>
      <c r="D6" s="57">
        <v>50000</v>
      </c>
      <c r="E6" s="57">
        <v>55000</v>
      </c>
      <c r="F6" s="57">
        <v>55000</v>
      </c>
      <c r="G6" s="57">
        <v>65000</v>
      </c>
      <c r="H6" s="55">
        <v>225000</v>
      </c>
      <c r="I6" s="78">
        <v>0.19</v>
      </c>
      <c r="J6" s="50"/>
      <c r="K6" s="79">
        <f>E6/28%</f>
        <v>196428.571428571</v>
      </c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 customHeight="1" spans="1:28">
      <c r="A7" s="50"/>
      <c r="B7" s="50"/>
      <c r="C7" s="56" t="s">
        <v>24</v>
      </c>
      <c r="D7" s="57">
        <v>45000</v>
      </c>
      <c r="E7" s="57">
        <v>50000</v>
      </c>
      <c r="F7" s="57">
        <v>60000</v>
      </c>
      <c r="G7" s="57">
        <v>70000</v>
      </c>
      <c r="H7" s="55">
        <v>225000</v>
      </c>
      <c r="I7" s="78">
        <v>0.19</v>
      </c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customHeight="1" spans="1:28">
      <c r="A8" s="50"/>
      <c r="B8" s="50"/>
      <c r="C8" s="56" t="s">
        <v>23</v>
      </c>
      <c r="D8" s="57">
        <v>45000</v>
      </c>
      <c r="E8" s="57">
        <v>45000</v>
      </c>
      <c r="F8" s="57">
        <v>65000</v>
      </c>
      <c r="G8" s="57">
        <v>70000</v>
      </c>
      <c r="H8" s="55">
        <v>225000</v>
      </c>
      <c r="I8" s="78">
        <v>0.19</v>
      </c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customHeight="1" spans="1:28">
      <c r="A9" s="50"/>
      <c r="B9" s="50"/>
      <c r="C9" s="58"/>
      <c r="D9" s="55">
        <v>250000</v>
      </c>
      <c r="E9" s="55">
        <v>275000</v>
      </c>
      <c r="F9" s="55">
        <v>325000</v>
      </c>
      <c r="G9" s="55">
        <v>350000</v>
      </c>
      <c r="H9" s="55">
        <v>1200000</v>
      </c>
      <c r="I9" s="80">
        <v>1</v>
      </c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 customHeight="1" spans="1:28">
      <c r="A10" s="50"/>
      <c r="B10" s="50"/>
      <c r="C10" s="58"/>
      <c r="D10" s="59"/>
      <c r="E10" s="59"/>
      <c r="F10" s="59"/>
      <c r="G10" s="59"/>
      <c r="H10" s="59"/>
      <c r="I10" s="81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customHeight="1" spans="1:28">
      <c r="A11" s="50"/>
      <c r="B11" s="50"/>
      <c r="C11" s="60" t="s">
        <v>53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customHeight="1" spans="1:28">
      <c r="A12" s="50"/>
      <c r="B12" s="50"/>
      <c r="C12" s="52" t="s">
        <v>54</v>
      </c>
      <c r="D12" s="61" t="s">
        <v>46</v>
      </c>
      <c r="E12" s="61"/>
      <c r="F12" s="61"/>
      <c r="G12" s="61"/>
      <c r="H12" s="61"/>
      <c r="I12" s="61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</row>
    <row r="13" customHeight="1" spans="1:28">
      <c r="A13" s="50"/>
      <c r="B13" s="50"/>
      <c r="C13" s="54"/>
      <c r="D13" s="62" t="s">
        <v>47</v>
      </c>
      <c r="E13" s="62" t="s">
        <v>48</v>
      </c>
      <c r="F13" s="62" t="s">
        <v>49</v>
      </c>
      <c r="G13" s="73" t="s">
        <v>50</v>
      </c>
      <c r="H13" s="73" t="s">
        <v>51</v>
      </c>
      <c r="I13" s="82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customHeight="1" spans="1:28">
      <c r="A14" s="50"/>
      <c r="B14" s="50"/>
      <c r="C14" s="56" t="s">
        <v>21</v>
      </c>
      <c r="D14" s="57">
        <v>10000</v>
      </c>
      <c r="E14" s="57">
        <v>15000</v>
      </c>
      <c r="F14" s="57">
        <v>15000</v>
      </c>
      <c r="G14" s="57">
        <v>20000</v>
      </c>
      <c r="H14" s="55">
        <v>60000</v>
      </c>
      <c r="I14" s="83">
        <v>0.17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customHeight="1" spans="1:28">
      <c r="A15" s="50"/>
      <c r="B15" s="50"/>
      <c r="C15" s="56" t="s">
        <v>55</v>
      </c>
      <c r="D15" s="57">
        <v>25000</v>
      </c>
      <c r="E15" s="57">
        <v>25000</v>
      </c>
      <c r="F15" s="57">
        <v>25000</v>
      </c>
      <c r="G15" s="57">
        <v>25000</v>
      </c>
      <c r="H15" s="55">
        <v>100000</v>
      </c>
      <c r="I15" s="83">
        <v>0.29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customHeight="1" spans="1:28">
      <c r="A16" s="50"/>
      <c r="B16" s="50"/>
      <c r="C16" s="56" t="s">
        <v>22</v>
      </c>
      <c r="D16" s="57">
        <v>15000</v>
      </c>
      <c r="E16" s="57">
        <v>15000</v>
      </c>
      <c r="F16" s="57">
        <v>15000</v>
      </c>
      <c r="G16" s="57">
        <v>20000</v>
      </c>
      <c r="H16" s="55">
        <v>65000</v>
      </c>
      <c r="I16" s="83">
        <v>0.19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customHeight="1" spans="1:28">
      <c r="A17" s="50"/>
      <c r="B17" s="50"/>
      <c r="C17" s="56" t="s">
        <v>24</v>
      </c>
      <c r="D17" s="57">
        <v>15000</v>
      </c>
      <c r="E17" s="57">
        <v>15000</v>
      </c>
      <c r="F17" s="57">
        <v>20000</v>
      </c>
      <c r="G17" s="57">
        <v>25000</v>
      </c>
      <c r="H17" s="55">
        <v>75000</v>
      </c>
      <c r="I17" s="83">
        <v>0.21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customHeight="1" spans="1:28">
      <c r="A18" s="50"/>
      <c r="B18" s="50"/>
      <c r="C18" s="56" t="s">
        <v>23</v>
      </c>
      <c r="D18" s="57">
        <v>10000</v>
      </c>
      <c r="E18" s="57">
        <v>10000</v>
      </c>
      <c r="F18" s="57">
        <v>15000</v>
      </c>
      <c r="G18" s="57">
        <v>15000</v>
      </c>
      <c r="H18" s="55">
        <v>50000</v>
      </c>
      <c r="I18" s="83">
        <v>0.14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 customHeight="1" spans="1:28">
      <c r="A19" s="50"/>
      <c r="B19" s="50"/>
      <c r="C19" s="58"/>
      <c r="D19" s="55">
        <v>75000</v>
      </c>
      <c r="E19" s="55">
        <v>80000</v>
      </c>
      <c r="F19" s="55">
        <v>90000</v>
      </c>
      <c r="G19" s="55">
        <v>105000</v>
      </c>
      <c r="H19" s="55">
        <v>350000</v>
      </c>
      <c r="I19" s="84">
        <v>1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</row>
    <row r="20" customHeight="1" spans="1:28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customHeight="1" spans="1:28">
      <c r="A21" s="50"/>
      <c r="B21" s="50"/>
      <c r="C21" s="63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customHeight="1" spans="1:28">
      <c r="A22" s="50"/>
      <c r="B22" s="50"/>
      <c r="C22" s="64" t="s">
        <v>56</v>
      </c>
      <c r="D22" s="62" t="s">
        <v>46</v>
      </c>
      <c r="E22" s="62"/>
      <c r="F22" s="62"/>
      <c r="G22" s="62"/>
      <c r="H22" s="62"/>
      <c r="I22" s="62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customHeight="1" spans="1:28">
      <c r="A23" s="50"/>
      <c r="B23" s="50"/>
      <c r="C23" s="54"/>
      <c r="D23" s="65" t="s">
        <v>47</v>
      </c>
      <c r="E23" s="65" t="s">
        <v>48</v>
      </c>
      <c r="F23" s="65" t="s">
        <v>49</v>
      </c>
      <c r="G23" s="74" t="s">
        <v>50</v>
      </c>
      <c r="H23" s="74" t="s">
        <v>51</v>
      </c>
      <c r="I23" s="85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customHeight="1" spans="1:28">
      <c r="A24" s="50"/>
      <c r="B24" s="50"/>
      <c r="C24" s="56" t="s">
        <v>21</v>
      </c>
      <c r="D24" s="57">
        <v>25000</v>
      </c>
      <c r="E24" s="57">
        <v>30000</v>
      </c>
      <c r="F24" s="57">
        <v>30000</v>
      </c>
      <c r="G24" s="57">
        <v>30000</v>
      </c>
      <c r="H24" s="55">
        <v>115000</v>
      </c>
      <c r="I24" s="83">
        <v>0.26</v>
      </c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</row>
    <row r="25" customHeight="1" spans="1:28">
      <c r="A25" s="50"/>
      <c r="B25" s="50"/>
      <c r="C25" s="56" t="s">
        <v>55</v>
      </c>
      <c r="D25" s="57">
        <v>20000</v>
      </c>
      <c r="E25" s="57">
        <v>20000</v>
      </c>
      <c r="F25" s="57">
        <v>30000</v>
      </c>
      <c r="G25" s="57">
        <v>30000</v>
      </c>
      <c r="H25" s="55">
        <v>100000</v>
      </c>
      <c r="I25" s="83">
        <v>0.29</v>
      </c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</row>
    <row r="26" customHeight="1" spans="1:28">
      <c r="A26" s="50"/>
      <c r="B26" s="50"/>
      <c r="C26" s="56" t="s">
        <v>22</v>
      </c>
      <c r="D26" s="57">
        <v>25000</v>
      </c>
      <c r="E26" s="57">
        <v>25000</v>
      </c>
      <c r="F26" s="57">
        <v>25000</v>
      </c>
      <c r="G26" s="57">
        <v>25000</v>
      </c>
      <c r="H26" s="55">
        <v>100000</v>
      </c>
      <c r="I26" s="83">
        <v>0.22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27" customHeight="1" spans="1:28">
      <c r="A27" s="50"/>
      <c r="B27" s="50"/>
      <c r="C27" s="56" t="s">
        <v>24</v>
      </c>
      <c r="D27" s="57">
        <v>15000</v>
      </c>
      <c r="E27" s="57">
        <v>20000</v>
      </c>
      <c r="F27" s="57">
        <v>25000</v>
      </c>
      <c r="G27" s="57">
        <v>25000</v>
      </c>
      <c r="H27" s="55">
        <v>85000</v>
      </c>
      <c r="I27" s="83">
        <v>0.19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</row>
    <row r="28" customHeight="1" spans="1:28">
      <c r="A28" s="50"/>
      <c r="B28" s="50"/>
      <c r="C28" s="56" t="s">
        <v>23</v>
      </c>
      <c r="D28" s="57">
        <v>10000</v>
      </c>
      <c r="E28" s="57">
        <v>10000</v>
      </c>
      <c r="F28" s="57">
        <v>15000</v>
      </c>
      <c r="G28" s="57">
        <v>15000</v>
      </c>
      <c r="H28" s="55">
        <v>50000</v>
      </c>
      <c r="I28" s="83">
        <v>0.11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</row>
    <row r="29" customHeight="1" spans="1:28">
      <c r="A29" s="50"/>
      <c r="B29" s="50"/>
      <c r="C29" s="58"/>
      <c r="D29" s="55">
        <v>95000</v>
      </c>
      <c r="E29" s="55">
        <v>105000</v>
      </c>
      <c r="F29" s="55">
        <v>125000</v>
      </c>
      <c r="G29" s="55">
        <v>125000</v>
      </c>
      <c r="H29" s="55">
        <v>450000</v>
      </c>
      <c r="I29" s="84">
        <v>1</v>
      </c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</row>
    <row r="30" customHeight="1" spans="1:28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</row>
    <row r="31" customHeight="1" spans="1:28">
      <c r="A31" s="50"/>
      <c r="B31" s="50"/>
      <c r="C31" s="63"/>
      <c r="D31" s="63"/>
      <c r="E31" s="63"/>
      <c r="F31" s="63"/>
      <c r="G31" s="63"/>
      <c r="H31" s="63"/>
      <c r="I31" s="63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</row>
    <row r="32" customHeight="1" spans="1:28">
      <c r="A32" s="50"/>
      <c r="B32" s="50"/>
      <c r="C32" s="52" t="s">
        <v>57</v>
      </c>
      <c r="D32" s="53" t="s">
        <v>46</v>
      </c>
      <c r="E32" s="72"/>
      <c r="F32" s="72"/>
      <c r="G32" s="72"/>
      <c r="H32" s="72"/>
      <c r="I32" s="72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</row>
    <row r="33" customHeight="1" spans="1:28">
      <c r="A33" s="50"/>
      <c r="B33" s="50"/>
      <c r="C33" s="54"/>
      <c r="D33" s="55" t="s">
        <v>47</v>
      </c>
      <c r="E33" s="55" t="s">
        <v>48</v>
      </c>
      <c r="F33" s="55" t="s">
        <v>49</v>
      </c>
      <c r="G33" s="55" t="s">
        <v>50</v>
      </c>
      <c r="H33" s="55" t="s">
        <v>51</v>
      </c>
      <c r="I33" s="77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</row>
    <row r="34" customHeight="1" spans="1:28">
      <c r="A34" s="50"/>
      <c r="B34" s="50"/>
      <c r="C34" s="56" t="s">
        <v>21</v>
      </c>
      <c r="D34" s="57">
        <v>10000</v>
      </c>
      <c r="E34" s="57">
        <v>15000</v>
      </c>
      <c r="F34" s="57">
        <v>15000</v>
      </c>
      <c r="G34" s="57">
        <v>10000</v>
      </c>
      <c r="H34" s="55">
        <v>50000</v>
      </c>
      <c r="I34" s="78">
        <v>0.13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</row>
    <row r="35" customHeight="1" spans="1:28">
      <c r="A35" s="50"/>
      <c r="B35" s="50"/>
      <c r="C35" s="56" t="s">
        <v>55</v>
      </c>
      <c r="D35" s="57">
        <v>20000</v>
      </c>
      <c r="E35" s="57">
        <v>20000</v>
      </c>
      <c r="F35" s="57">
        <v>30000</v>
      </c>
      <c r="G35" s="57">
        <v>30000</v>
      </c>
      <c r="H35" s="55">
        <v>100000</v>
      </c>
      <c r="I35" s="78">
        <v>0.25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</row>
    <row r="36" customHeight="1" spans="1:28">
      <c r="A36" s="50"/>
      <c r="B36" s="50"/>
      <c r="C36" s="56" t="s">
        <v>22</v>
      </c>
      <c r="D36" s="57">
        <v>10000</v>
      </c>
      <c r="E36" s="57">
        <v>15000</v>
      </c>
      <c r="F36" s="57">
        <v>15000</v>
      </c>
      <c r="G36" s="57">
        <v>20000</v>
      </c>
      <c r="H36" s="55">
        <v>60000</v>
      </c>
      <c r="I36" s="78">
        <v>0.15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</row>
    <row r="37" customHeight="1" spans="1:28">
      <c r="A37" s="50"/>
      <c r="B37" s="50"/>
      <c r="C37" s="56" t="s">
        <v>24</v>
      </c>
      <c r="D37" s="57">
        <v>15000</v>
      </c>
      <c r="E37" s="57">
        <v>15000</v>
      </c>
      <c r="F37" s="57">
        <v>15000</v>
      </c>
      <c r="G37" s="57">
        <v>20000</v>
      </c>
      <c r="H37" s="55">
        <v>65000</v>
      </c>
      <c r="I37" s="78">
        <v>0.16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</row>
    <row r="38" customHeight="1" spans="1:28">
      <c r="A38" s="50"/>
      <c r="B38" s="50"/>
      <c r="C38" s="56" t="s">
        <v>23</v>
      </c>
      <c r="D38" s="57">
        <v>25000</v>
      </c>
      <c r="E38" s="57">
        <v>25000</v>
      </c>
      <c r="F38" s="57">
        <v>35000</v>
      </c>
      <c r="G38" s="57">
        <v>40000</v>
      </c>
      <c r="H38" s="55">
        <v>125000</v>
      </c>
      <c r="I38" s="78">
        <v>0.31</v>
      </c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</row>
    <row r="39" customHeight="1" spans="1:28">
      <c r="A39" s="50"/>
      <c r="B39" s="50"/>
      <c r="C39" s="58"/>
      <c r="D39" s="55">
        <v>80000</v>
      </c>
      <c r="E39" s="55">
        <v>90000</v>
      </c>
      <c r="F39" s="55">
        <v>110000</v>
      </c>
      <c r="G39" s="55">
        <v>120000</v>
      </c>
      <c r="H39" s="55">
        <v>400000</v>
      </c>
      <c r="I39" s="80">
        <v>1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</row>
    <row r="40" customHeight="1" spans="1:28">
      <c r="A40" s="50"/>
      <c r="B40" s="50"/>
      <c r="C40" s="66"/>
      <c r="D40" s="66"/>
      <c r="E40" s="66"/>
      <c r="F40" s="66"/>
      <c r="G40" s="66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</row>
    <row r="41" customHeight="1" spans="1:28">
      <c r="A41" s="50"/>
      <c r="B41" s="50"/>
      <c r="C41" s="66"/>
      <c r="D41" s="66"/>
      <c r="E41" s="66"/>
      <c r="F41" s="66"/>
      <c r="G41" s="66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</row>
    <row r="42" customHeight="1" spans="1:28">
      <c r="A42" s="50"/>
      <c r="B42" s="50"/>
      <c r="C42" s="67" t="s">
        <v>14</v>
      </c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</row>
    <row r="43" customHeight="1" spans="1:28">
      <c r="A43" s="50"/>
      <c r="B43" s="50"/>
      <c r="C43" s="66"/>
      <c r="D43" s="66"/>
      <c r="E43" s="66"/>
      <c r="F43" s="66"/>
      <c r="G43" s="66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</row>
    <row r="44" customHeight="1" spans="1:28">
      <c r="A44" s="50"/>
      <c r="B44" s="50" t="s">
        <v>36</v>
      </c>
      <c r="C44" s="68" t="s">
        <v>14</v>
      </c>
      <c r="D44" s="68" t="s">
        <v>21</v>
      </c>
      <c r="E44" s="68" t="s">
        <v>22</v>
      </c>
      <c r="F44" s="68" t="s">
        <v>23</v>
      </c>
      <c r="G44" s="68" t="s">
        <v>24</v>
      </c>
      <c r="H44" s="75" t="s">
        <v>25</v>
      </c>
      <c r="I44" s="75" t="s">
        <v>33</v>
      </c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</row>
    <row r="45" customHeight="1" spans="1:28">
      <c r="A45" s="50"/>
      <c r="B45" s="50"/>
      <c r="C45" s="58" t="s">
        <v>3</v>
      </c>
      <c r="D45" s="69">
        <v>20</v>
      </c>
      <c r="E45" s="69">
        <v>19</v>
      </c>
      <c r="F45" s="69">
        <v>14</v>
      </c>
      <c r="G45" s="69">
        <v>36</v>
      </c>
      <c r="H45" s="69">
        <v>23</v>
      </c>
      <c r="I45" s="86">
        <v>111</v>
      </c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</row>
    <row r="46" customHeight="1" spans="1:28">
      <c r="A46" s="50"/>
      <c r="B46" s="50"/>
      <c r="C46" s="58" t="s">
        <v>37</v>
      </c>
      <c r="D46" s="69">
        <v>24</v>
      </c>
      <c r="E46" s="69">
        <v>21</v>
      </c>
      <c r="F46" s="69">
        <v>17</v>
      </c>
      <c r="G46" s="69">
        <v>40</v>
      </c>
      <c r="H46" s="69">
        <v>25</v>
      </c>
      <c r="I46" s="86">
        <v>127</v>
      </c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</row>
    <row r="47" customHeight="1" spans="1:28">
      <c r="A47" s="50"/>
      <c r="B47" s="50"/>
      <c r="C47" s="58" t="s">
        <v>38</v>
      </c>
      <c r="D47" s="69">
        <v>37</v>
      </c>
      <c r="E47" s="69">
        <v>33</v>
      </c>
      <c r="F47" s="69">
        <v>41</v>
      </c>
      <c r="G47" s="69">
        <v>40</v>
      </c>
      <c r="H47" s="69">
        <v>57</v>
      </c>
      <c r="I47" s="86">
        <v>208</v>
      </c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</row>
    <row r="48" customHeight="1" spans="1:28">
      <c r="A48" s="50"/>
      <c r="B48" s="50"/>
      <c r="C48" s="58" t="s">
        <v>39</v>
      </c>
      <c r="D48" s="69">
        <v>74</v>
      </c>
      <c r="E48" s="69">
        <v>64</v>
      </c>
      <c r="F48" s="69">
        <v>76</v>
      </c>
      <c r="G48" s="69">
        <v>44</v>
      </c>
      <c r="H48" s="69">
        <v>144</v>
      </c>
      <c r="I48" s="86">
        <v>401</v>
      </c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</row>
    <row r="49" customHeight="1" spans="1:28">
      <c r="A49" s="50"/>
      <c r="B49" s="50"/>
      <c r="C49" s="58" t="s">
        <v>40</v>
      </c>
      <c r="D49" s="69">
        <v>114</v>
      </c>
      <c r="E49" s="69">
        <v>93</v>
      </c>
      <c r="F49" s="69">
        <v>96</v>
      </c>
      <c r="G49" s="69">
        <v>44</v>
      </c>
      <c r="H49" s="69">
        <v>187</v>
      </c>
      <c r="I49" s="86">
        <v>534</v>
      </c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</row>
    <row r="50" customHeight="1" spans="1:28">
      <c r="A50" s="50"/>
      <c r="B50" s="50"/>
      <c r="C50" s="58" t="s">
        <v>41</v>
      </c>
      <c r="D50" s="69">
        <v>229</v>
      </c>
      <c r="E50" s="69">
        <v>171</v>
      </c>
      <c r="F50" s="69">
        <v>136</v>
      </c>
      <c r="G50" s="69">
        <v>45</v>
      </c>
      <c r="H50" s="69">
        <v>451</v>
      </c>
      <c r="I50" s="86">
        <v>1032</v>
      </c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</row>
    <row r="51" customHeight="1" spans="1:28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</row>
    <row r="52" customHeight="1" spans="1:28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</row>
    <row r="53" customHeight="1" spans="1:28">
      <c r="A53" s="50"/>
      <c r="B53" s="50" t="s">
        <v>42</v>
      </c>
      <c r="C53" s="68" t="s">
        <v>14</v>
      </c>
      <c r="D53" s="68" t="s">
        <v>21</v>
      </c>
      <c r="E53" s="68" t="s">
        <v>22</v>
      </c>
      <c r="F53" s="68" t="s">
        <v>23</v>
      </c>
      <c r="G53" s="68" t="s">
        <v>24</v>
      </c>
      <c r="H53" s="75" t="s">
        <v>25</v>
      </c>
      <c r="I53" s="75" t="s">
        <v>33</v>
      </c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</row>
    <row r="54" customHeight="1" spans="1:28">
      <c r="A54" s="50"/>
      <c r="B54" s="50"/>
      <c r="C54" s="58" t="s">
        <v>3</v>
      </c>
      <c r="D54" s="70">
        <v>235000</v>
      </c>
      <c r="E54" s="70">
        <v>220000</v>
      </c>
      <c r="F54" s="70">
        <v>220000</v>
      </c>
      <c r="G54" s="70">
        <v>225000</v>
      </c>
      <c r="H54" s="70">
        <v>300000</v>
      </c>
      <c r="I54" s="87">
        <v>1200000</v>
      </c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</row>
    <row r="55" customHeight="1" spans="1:28">
      <c r="A55" s="50"/>
      <c r="B55" s="50"/>
      <c r="C55" s="58" t="s">
        <v>37</v>
      </c>
      <c r="D55" s="70">
        <v>291417</v>
      </c>
      <c r="E55" s="70">
        <v>237647</v>
      </c>
      <c r="F55" s="70">
        <v>272868</v>
      </c>
      <c r="G55" s="70">
        <v>255868</v>
      </c>
      <c r="H55" s="70">
        <v>328173</v>
      </c>
      <c r="I55" s="87">
        <v>1385973</v>
      </c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</row>
    <row r="56" customHeight="1" spans="1:28">
      <c r="A56" s="50"/>
      <c r="B56" s="50"/>
      <c r="C56" s="58" t="s">
        <v>38</v>
      </c>
      <c r="D56" s="70">
        <v>449641</v>
      </c>
      <c r="E56" s="70">
        <v>376078</v>
      </c>
      <c r="F56" s="70">
        <v>641731</v>
      </c>
      <c r="G56" s="70">
        <v>255868</v>
      </c>
      <c r="H56" s="70">
        <v>759705</v>
      </c>
      <c r="I56" s="87">
        <v>2483024</v>
      </c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</row>
    <row r="57" customHeight="1" spans="1:28">
      <c r="A57" s="50"/>
      <c r="B57" s="50"/>
      <c r="C57" s="58" t="s">
        <v>39</v>
      </c>
      <c r="D57" s="70">
        <v>880197</v>
      </c>
      <c r="E57" s="70">
        <v>729919</v>
      </c>
      <c r="F57" s="70">
        <v>1215471</v>
      </c>
      <c r="G57" s="70">
        <v>280438</v>
      </c>
      <c r="H57" s="70">
        <v>1912870</v>
      </c>
      <c r="I57" s="87">
        <v>5018895</v>
      </c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</row>
    <row r="58" customHeight="1" spans="1:28">
      <c r="A58" s="50"/>
      <c r="B58" s="50"/>
      <c r="C58" s="58" t="s">
        <v>40</v>
      </c>
      <c r="D58" s="70">
        <v>1370892</v>
      </c>
      <c r="E58" s="70">
        <v>1057939</v>
      </c>
      <c r="F58" s="70">
        <v>1524270</v>
      </c>
      <c r="G58" s="70">
        <v>280438</v>
      </c>
      <c r="H58" s="70">
        <v>2482600</v>
      </c>
      <c r="I58" s="87">
        <v>6716138</v>
      </c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</row>
    <row r="59" customHeight="1" spans="1:28">
      <c r="A59" s="50"/>
      <c r="B59" s="71"/>
      <c r="C59" s="71"/>
      <c r="D59" s="71"/>
      <c r="E59" s="71"/>
      <c r="F59" s="71"/>
      <c r="G59" s="71"/>
      <c r="H59" s="71"/>
      <c r="I59" s="71"/>
      <c r="J59" s="71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</row>
    <row r="60" customHeight="1" spans="1:28">
      <c r="A60" s="50"/>
      <c r="B60" s="71"/>
      <c r="C60" s="71"/>
      <c r="D60" s="71"/>
      <c r="E60" s="71"/>
      <c r="F60" s="71"/>
      <c r="G60" s="71"/>
      <c r="H60" s="71"/>
      <c r="I60" s="71"/>
      <c r="J60" s="71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</row>
    <row r="61" customHeight="1" spans="1:28">
      <c r="A61" s="50"/>
      <c r="B61" s="50"/>
      <c r="C61" s="66"/>
      <c r="D61" s="66"/>
      <c r="E61" s="66"/>
      <c r="F61" s="66"/>
      <c r="G61" s="66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</row>
    <row r="62" customHeight="1" spans="1:28">
      <c r="A62" s="50"/>
      <c r="B62" s="50"/>
      <c r="C62" s="67" t="s">
        <v>58</v>
      </c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</row>
    <row r="63" customHeight="1" spans="1:28">
      <c r="A63" s="50"/>
      <c r="B63" s="50"/>
      <c r="C63" s="66"/>
      <c r="D63" s="66"/>
      <c r="E63" s="66"/>
      <c r="F63" s="66"/>
      <c r="G63" s="66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</row>
    <row r="64" customHeight="1" spans="1:28">
      <c r="A64" s="50"/>
      <c r="B64" s="50" t="s">
        <v>10</v>
      </c>
      <c r="C64" s="68" t="s">
        <v>10</v>
      </c>
      <c r="D64" s="68" t="s">
        <v>21</v>
      </c>
      <c r="E64" s="68" t="s">
        <v>22</v>
      </c>
      <c r="F64" s="68" t="s">
        <v>23</v>
      </c>
      <c r="G64" s="68" t="s">
        <v>24</v>
      </c>
      <c r="H64" s="75" t="s">
        <v>25</v>
      </c>
      <c r="I64" s="75" t="s">
        <v>33</v>
      </c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</row>
    <row r="65" customHeight="1" spans="1:28">
      <c r="A65" s="50"/>
      <c r="B65" s="50"/>
      <c r="C65" s="58" t="s">
        <v>3</v>
      </c>
      <c r="D65" s="69">
        <v>4</v>
      </c>
      <c r="E65" s="69">
        <v>4</v>
      </c>
      <c r="F65" s="69">
        <v>3</v>
      </c>
      <c r="G65" s="69">
        <v>7</v>
      </c>
      <c r="H65" s="69">
        <v>5</v>
      </c>
      <c r="I65" s="86">
        <v>23</v>
      </c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</row>
    <row r="66" customHeight="1" spans="1:28">
      <c r="A66" s="50"/>
      <c r="B66" s="50"/>
      <c r="C66" s="58" t="s">
        <v>37</v>
      </c>
      <c r="D66" s="69">
        <v>5</v>
      </c>
      <c r="E66" s="69">
        <v>4</v>
      </c>
      <c r="F66" s="69">
        <v>3</v>
      </c>
      <c r="G66" s="69">
        <v>8</v>
      </c>
      <c r="H66" s="69">
        <v>5</v>
      </c>
      <c r="I66" s="86">
        <v>26</v>
      </c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</row>
    <row r="67" customHeight="1" spans="1:28">
      <c r="A67" s="50"/>
      <c r="B67" s="50"/>
      <c r="C67" s="58" t="s">
        <v>38</v>
      </c>
      <c r="D67" s="69">
        <v>8</v>
      </c>
      <c r="E67" s="69">
        <v>7</v>
      </c>
      <c r="F67" s="69">
        <v>8</v>
      </c>
      <c r="G67" s="69">
        <v>8</v>
      </c>
      <c r="H67" s="69">
        <v>11</v>
      </c>
      <c r="I67" s="86">
        <v>43</v>
      </c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</row>
    <row r="68" customHeight="1" spans="1:28">
      <c r="A68" s="50"/>
      <c r="B68" s="50"/>
      <c r="C68" s="58" t="s">
        <v>39</v>
      </c>
      <c r="D68" s="69">
        <v>16</v>
      </c>
      <c r="E68" s="69">
        <v>14</v>
      </c>
      <c r="F68" s="69">
        <v>16</v>
      </c>
      <c r="G68" s="69">
        <v>9</v>
      </c>
      <c r="H68" s="69">
        <v>29</v>
      </c>
      <c r="I68" s="86">
        <v>83</v>
      </c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</row>
    <row r="69" customHeight="1" spans="1:28">
      <c r="A69" s="50"/>
      <c r="B69" s="50"/>
      <c r="C69" s="58" t="s">
        <v>40</v>
      </c>
      <c r="D69" s="69">
        <v>25</v>
      </c>
      <c r="E69" s="69">
        <v>20</v>
      </c>
      <c r="F69" s="69">
        <v>19</v>
      </c>
      <c r="G69" s="69">
        <v>9</v>
      </c>
      <c r="H69" s="69">
        <v>37</v>
      </c>
      <c r="I69" s="86">
        <v>110</v>
      </c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</row>
    <row r="70" customHeight="1" spans="1:28">
      <c r="A70" s="50"/>
      <c r="B70" s="50"/>
      <c r="C70" s="58" t="s">
        <v>41</v>
      </c>
      <c r="D70" s="69">
        <v>49</v>
      </c>
      <c r="E70" s="69">
        <v>37</v>
      </c>
      <c r="F70" s="69">
        <v>28</v>
      </c>
      <c r="G70" s="69">
        <v>9</v>
      </c>
      <c r="H70" s="69">
        <v>90</v>
      </c>
      <c r="I70" s="86">
        <v>213</v>
      </c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</row>
    <row r="71" customHeight="1" spans="1:28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</row>
    <row r="72" customHeight="1" spans="1:28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</row>
    <row r="73" customHeight="1" spans="1:28">
      <c r="A73" s="50"/>
      <c r="B73" s="50"/>
      <c r="C73" s="68" t="s">
        <v>10</v>
      </c>
      <c r="D73" s="68" t="s">
        <v>21</v>
      </c>
      <c r="E73" s="68" t="s">
        <v>22</v>
      </c>
      <c r="F73" s="68" t="s">
        <v>23</v>
      </c>
      <c r="G73" s="68" t="s">
        <v>24</v>
      </c>
      <c r="H73" s="75" t="s">
        <v>25</v>
      </c>
      <c r="I73" s="75" t="s">
        <v>33</v>
      </c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</row>
    <row r="74" customHeight="1" spans="1:28">
      <c r="A74" s="50"/>
      <c r="B74" s="50" t="s">
        <v>10</v>
      </c>
      <c r="C74" s="58" t="s">
        <v>3</v>
      </c>
      <c r="D74" s="70">
        <v>50000</v>
      </c>
      <c r="E74" s="70">
        <v>45000</v>
      </c>
      <c r="F74" s="70">
        <v>45000</v>
      </c>
      <c r="G74" s="70">
        <v>45000</v>
      </c>
      <c r="H74" s="70">
        <v>60000</v>
      </c>
      <c r="I74" s="87">
        <v>245000</v>
      </c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</row>
    <row r="75" customHeight="1" spans="1:28">
      <c r="A75" s="50"/>
      <c r="B75" s="50"/>
      <c r="C75" s="58" t="s">
        <v>37</v>
      </c>
      <c r="D75" s="70">
        <v>62693</v>
      </c>
      <c r="E75" s="70">
        <v>49412</v>
      </c>
      <c r="F75" s="70">
        <v>55736</v>
      </c>
      <c r="G75" s="70">
        <v>50735</v>
      </c>
      <c r="H75" s="70">
        <v>65635</v>
      </c>
      <c r="I75" s="87">
        <v>284210</v>
      </c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</row>
    <row r="76" customHeight="1" spans="1:28">
      <c r="A76" s="50"/>
      <c r="B76" s="50"/>
      <c r="C76" s="58" t="s">
        <v>38</v>
      </c>
      <c r="D76" s="70">
        <v>97316</v>
      </c>
      <c r="E76" s="70">
        <v>79020</v>
      </c>
      <c r="F76" s="70">
        <v>130500</v>
      </c>
      <c r="G76" s="70">
        <v>50735</v>
      </c>
      <c r="H76" s="70">
        <v>151941</v>
      </c>
      <c r="I76" s="87">
        <v>509511</v>
      </c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</row>
    <row r="77" customHeight="1" spans="1:28">
      <c r="A77" s="50"/>
      <c r="B77" s="50"/>
      <c r="C77" s="58" t="s">
        <v>39</v>
      </c>
      <c r="D77" s="70">
        <v>189413</v>
      </c>
      <c r="E77" s="70">
        <v>154333</v>
      </c>
      <c r="F77" s="70">
        <v>248346</v>
      </c>
      <c r="G77" s="70">
        <v>55742</v>
      </c>
      <c r="H77" s="70">
        <v>382574</v>
      </c>
      <c r="I77" s="87">
        <v>1030409</v>
      </c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</row>
    <row r="78" customHeight="1" spans="1:28">
      <c r="A78" s="50"/>
      <c r="B78" s="50"/>
      <c r="C78" s="58" t="s">
        <v>40</v>
      </c>
      <c r="D78" s="70">
        <v>297081</v>
      </c>
      <c r="E78" s="70">
        <v>222351</v>
      </c>
      <c r="F78" s="70">
        <v>311259</v>
      </c>
      <c r="G78" s="70">
        <v>55742</v>
      </c>
      <c r="H78" s="70">
        <v>496520</v>
      </c>
      <c r="I78" s="87">
        <v>1382954</v>
      </c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</row>
    <row r="79" customHeight="1" spans="1:28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</row>
    <row r="80" customHeight="1" spans="1:28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</row>
    <row r="81" customHeight="1" spans="1:28">
      <c r="A81" s="50"/>
      <c r="B81" s="50"/>
      <c r="C81" s="68" t="s">
        <v>11</v>
      </c>
      <c r="D81" s="68" t="s">
        <v>21</v>
      </c>
      <c r="E81" s="68" t="s">
        <v>22</v>
      </c>
      <c r="F81" s="68" t="s">
        <v>23</v>
      </c>
      <c r="G81" s="68" t="s">
        <v>24</v>
      </c>
      <c r="H81" s="75" t="s">
        <v>25</v>
      </c>
      <c r="I81" s="75" t="s">
        <v>33</v>
      </c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</row>
    <row r="82" customHeight="1" spans="1:28">
      <c r="A82" s="50"/>
      <c r="B82" s="50" t="s">
        <v>11</v>
      </c>
      <c r="C82" s="58" t="s">
        <v>3</v>
      </c>
      <c r="D82" s="69">
        <v>5</v>
      </c>
      <c r="E82" s="69">
        <v>5</v>
      </c>
      <c r="F82" s="69">
        <v>3</v>
      </c>
      <c r="G82" s="69">
        <v>8</v>
      </c>
      <c r="H82" s="69">
        <v>5</v>
      </c>
      <c r="I82" s="86">
        <v>26</v>
      </c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</row>
    <row r="83" customHeight="1" spans="1:28">
      <c r="A83" s="50"/>
      <c r="B83" s="50"/>
      <c r="C83" s="58" t="s">
        <v>37</v>
      </c>
      <c r="D83" s="69">
        <v>6</v>
      </c>
      <c r="E83" s="69">
        <v>5</v>
      </c>
      <c r="F83" s="69">
        <v>3</v>
      </c>
      <c r="G83" s="69">
        <v>9</v>
      </c>
      <c r="H83" s="69">
        <v>5</v>
      </c>
      <c r="I83" s="86">
        <v>29</v>
      </c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</row>
    <row r="84" customHeight="1" spans="1:28">
      <c r="A84" s="50"/>
      <c r="B84" s="50"/>
      <c r="C84" s="58" t="s">
        <v>38</v>
      </c>
      <c r="D84" s="69">
        <v>9</v>
      </c>
      <c r="E84" s="69">
        <v>8</v>
      </c>
      <c r="F84" s="69">
        <v>8</v>
      </c>
      <c r="G84" s="69">
        <v>9</v>
      </c>
      <c r="H84" s="69">
        <v>12</v>
      </c>
      <c r="I84" s="86">
        <v>47</v>
      </c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</row>
    <row r="85" customHeight="1" spans="1:28">
      <c r="A85" s="50"/>
      <c r="B85" s="50"/>
      <c r="C85" s="58" t="s">
        <v>39</v>
      </c>
      <c r="D85" s="69">
        <v>19</v>
      </c>
      <c r="E85" s="69">
        <v>16</v>
      </c>
      <c r="F85" s="69">
        <v>16</v>
      </c>
      <c r="G85" s="69">
        <v>10</v>
      </c>
      <c r="H85" s="69">
        <v>31</v>
      </c>
      <c r="I85" s="86">
        <v>91</v>
      </c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</row>
    <row r="86" customHeight="1" spans="1:28">
      <c r="A86" s="50"/>
      <c r="B86" s="50"/>
      <c r="C86" s="58" t="s">
        <v>40</v>
      </c>
      <c r="D86" s="69">
        <v>29</v>
      </c>
      <c r="E86" s="69">
        <v>23</v>
      </c>
      <c r="F86" s="69">
        <v>19</v>
      </c>
      <c r="G86" s="69">
        <v>10</v>
      </c>
      <c r="H86" s="69">
        <v>41</v>
      </c>
      <c r="I86" s="86">
        <v>123</v>
      </c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</row>
    <row r="87" customHeight="1" spans="1:28">
      <c r="A87" s="50"/>
      <c r="B87" s="50"/>
      <c r="C87" s="58" t="s">
        <v>41</v>
      </c>
      <c r="D87" s="69">
        <v>58</v>
      </c>
      <c r="E87" s="69">
        <v>43</v>
      </c>
      <c r="F87" s="69">
        <v>28</v>
      </c>
      <c r="G87" s="69">
        <v>10</v>
      </c>
      <c r="H87" s="69">
        <v>100</v>
      </c>
      <c r="I87" s="86">
        <v>238</v>
      </c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</row>
    <row r="88" customHeight="1" spans="1:2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</row>
    <row r="89" customHeight="1" spans="1:28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</row>
    <row r="90" customHeight="1" spans="1:28">
      <c r="A90" s="50"/>
      <c r="B90" s="50"/>
      <c r="C90" s="68" t="s">
        <v>11</v>
      </c>
      <c r="D90" s="68" t="s">
        <v>21</v>
      </c>
      <c r="E90" s="68" t="s">
        <v>22</v>
      </c>
      <c r="F90" s="68" t="s">
        <v>23</v>
      </c>
      <c r="G90" s="68" t="s">
        <v>24</v>
      </c>
      <c r="H90" s="75" t="s">
        <v>25</v>
      </c>
      <c r="I90" s="75" t="s">
        <v>33</v>
      </c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</row>
    <row r="91" customHeight="1" spans="1:28">
      <c r="A91" s="50"/>
      <c r="B91" s="50" t="s">
        <v>11</v>
      </c>
      <c r="C91" s="58" t="s">
        <v>3</v>
      </c>
      <c r="D91" s="70">
        <v>60000</v>
      </c>
      <c r="E91" s="70">
        <v>55000</v>
      </c>
      <c r="F91" s="70">
        <v>45000</v>
      </c>
      <c r="G91" s="70">
        <v>50000</v>
      </c>
      <c r="H91" s="70">
        <v>65000</v>
      </c>
      <c r="I91" s="87">
        <v>275000</v>
      </c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</row>
    <row r="92" customHeight="1" spans="1:28">
      <c r="A92" s="50"/>
      <c r="B92" s="50"/>
      <c r="C92" s="58" t="s">
        <v>37</v>
      </c>
      <c r="D92" s="70">
        <v>73677</v>
      </c>
      <c r="E92" s="70">
        <v>59412</v>
      </c>
      <c r="F92" s="70">
        <v>55736</v>
      </c>
      <c r="G92" s="70">
        <v>56832</v>
      </c>
      <c r="H92" s="70">
        <v>70898</v>
      </c>
      <c r="I92" s="87">
        <v>316555</v>
      </c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</row>
    <row r="93" customHeight="1" spans="1:28">
      <c r="A93" s="50"/>
      <c r="B93" s="50"/>
      <c r="C93" s="58" t="s">
        <v>38</v>
      </c>
      <c r="D93" s="70">
        <v>113168</v>
      </c>
      <c r="E93" s="70">
        <v>94020</v>
      </c>
      <c r="F93" s="70">
        <v>130500</v>
      </c>
      <c r="G93" s="70">
        <v>56832</v>
      </c>
      <c r="H93" s="70">
        <v>162062</v>
      </c>
      <c r="I93" s="87">
        <v>556582</v>
      </c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</row>
    <row r="94" customHeight="1" spans="1:28">
      <c r="A94" s="50"/>
      <c r="B94" s="50"/>
      <c r="C94" s="58" t="s">
        <v>39</v>
      </c>
      <c r="D94" s="70">
        <v>222630</v>
      </c>
      <c r="E94" s="70">
        <v>182480</v>
      </c>
      <c r="F94" s="70">
        <v>248346</v>
      </c>
      <c r="G94" s="70">
        <v>62161</v>
      </c>
      <c r="H94" s="70">
        <v>412343</v>
      </c>
      <c r="I94" s="87">
        <v>1127960</v>
      </c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</row>
    <row r="95" customHeight="1" spans="1:28">
      <c r="A95" s="50"/>
      <c r="B95" s="50"/>
      <c r="C95" s="58" t="s">
        <v>40</v>
      </c>
      <c r="D95" s="70">
        <v>348398</v>
      </c>
      <c r="E95" s="70">
        <v>264485</v>
      </c>
      <c r="F95" s="70">
        <v>311259</v>
      </c>
      <c r="G95" s="70">
        <v>62161</v>
      </c>
      <c r="H95" s="70">
        <v>539047</v>
      </c>
      <c r="I95" s="87">
        <v>1525349</v>
      </c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</row>
    <row r="96" customHeight="1" spans="1:28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</row>
    <row r="97" customHeight="1" spans="1:28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</row>
    <row r="98" customHeight="1" spans="1:2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</row>
    <row r="99" customHeight="1" spans="1:28">
      <c r="A99" s="50"/>
      <c r="B99" s="50"/>
      <c r="C99" s="68" t="s">
        <v>12</v>
      </c>
      <c r="D99" s="68" t="s">
        <v>21</v>
      </c>
      <c r="E99" s="68" t="s">
        <v>22</v>
      </c>
      <c r="F99" s="68" t="s">
        <v>23</v>
      </c>
      <c r="G99" s="68" t="s">
        <v>24</v>
      </c>
      <c r="H99" s="75" t="s">
        <v>25</v>
      </c>
      <c r="I99" s="75" t="s">
        <v>33</v>
      </c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</row>
    <row r="100" customHeight="1" spans="1:28">
      <c r="A100" s="50"/>
      <c r="B100" s="50" t="s">
        <v>12</v>
      </c>
      <c r="C100" s="58" t="s">
        <v>3</v>
      </c>
      <c r="D100" s="69">
        <v>5</v>
      </c>
      <c r="E100" s="69">
        <v>5</v>
      </c>
      <c r="F100" s="69">
        <v>4</v>
      </c>
      <c r="G100" s="69">
        <v>9</v>
      </c>
      <c r="H100" s="69">
        <v>6</v>
      </c>
      <c r="I100" s="86">
        <v>29</v>
      </c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</row>
    <row r="101" customHeight="1" spans="1:28">
      <c r="A101" s="50"/>
      <c r="B101" s="50"/>
      <c r="C101" s="58" t="s">
        <v>37</v>
      </c>
      <c r="D101" s="69">
        <v>6</v>
      </c>
      <c r="E101" s="69">
        <v>5</v>
      </c>
      <c r="F101" s="69">
        <v>5</v>
      </c>
      <c r="G101" s="69">
        <v>11</v>
      </c>
      <c r="H101" s="69">
        <v>7</v>
      </c>
      <c r="I101" s="86">
        <v>34</v>
      </c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</row>
    <row r="102" customHeight="1" spans="1:28">
      <c r="A102" s="50"/>
      <c r="B102" s="50"/>
      <c r="C102" s="58" t="s">
        <v>38</v>
      </c>
      <c r="D102" s="69">
        <v>9</v>
      </c>
      <c r="E102" s="69">
        <v>8</v>
      </c>
      <c r="F102" s="69">
        <v>11</v>
      </c>
      <c r="G102" s="69">
        <v>11</v>
      </c>
      <c r="H102" s="69">
        <v>16</v>
      </c>
      <c r="I102" s="86">
        <v>56</v>
      </c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</row>
    <row r="103" customHeight="1" spans="1:28">
      <c r="A103" s="50"/>
      <c r="B103" s="50"/>
      <c r="C103" s="58" t="s">
        <v>39</v>
      </c>
      <c r="D103" s="69">
        <v>19</v>
      </c>
      <c r="E103" s="69">
        <v>16</v>
      </c>
      <c r="F103" s="69">
        <v>21</v>
      </c>
      <c r="G103" s="69">
        <v>12</v>
      </c>
      <c r="H103" s="69">
        <v>41</v>
      </c>
      <c r="I103" s="86">
        <v>108</v>
      </c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</row>
    <row r="104" customHeight="1" spans="1:28">
      <c r="A104" s="50"/>
      <c r="B104" s="50"/>
      <c r="C104" s="58" t="s">
        <v>40</v>
      </c>
      <c r="D104" s="69">
        <v>29</v>
      </c>
      <c r="E104" s="69">
        <v>23</v>
      </c>
      <c r="F104" s="69">
        <v>26</v>
      </c>
      <c r="G104" s="69">
        <v>12</v>
      </c>
      <c r="H104" s="69">
        <v>53</v>
      </c>
      <c r="I104" s="86">
        <v>143</v>
      </c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</row>
    <row r="105" customHeight="1" spans="1:28">
      <c r="A105" s="50"/>
      <c r="B105" s="50"/>
      <c r="C105" s="58" t="s">
        <v>41</v>
      </c>
      <c r="D105" s="69">
        <v>58</v>
      </c>
      <c r="E105" s="69">
        <v>43</v>
      </c>
      <c r="F105" s="69">
        <v>38</v>
      </c>
      <c r="G105" s="69">
        <v>12</v>
      </c>
      <c r="H105" s="69">
        <v>126</v>
      </c>
      <c r="I105" s="86">
        <v>277</v>
      </c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</row>
    <row r="106" customHeight="1" spans="1:28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</row>
    <row r="107" customHeight="1" spans="1:28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</row>
    <row r="108" customHeight="1" spans="1:28">
      <c r="A108" s="50"/>
      <c r="B108" s="50"/>
      <c r="C108" s="68" t="s">
        <v>12</v>
      </c>
      <c r="D108" s="68" t="s">
        <v>21</v>
      </c>
      <c r="E108" s="68" t="s">
        <v>22</v>
      </c>
      <c r="F108" s="68" t="s">
        <v>23</v>
      </c>
      <c r="G108" s="68" t="s">
        <v>24</v>
      </c>
      <c r="H108" s="75" t="s">
        <v>25</v>
      </c>
      <c r="I108" s="75" t="s">
        <v>33</v>
      </c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</row>
    <row r="109" customHeight="1" spans="1:28">
      <c r="A109" s="50"/>
      <c r="B109" s="50" t="s">
        <v>12</v>
      </c>
      <c r="C109" s="58" t="s">
        <v>3</v>
      </c>
      <c r="D109" s="70">
        <v>60000</v>
      </c>
      <c r="E109" s="70">
        <v>55000</v>
      </c>
      <c r="F109" s="70">
        <v>60000</v>
      </c>
      <c r="G109" s="70">
        <v>60000</v>
      </c>
      <c r="H109" s="70">
        <v>85000</v>
      </c>
      <c r="I109" s="87">
        <v>320000</v>
      </c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</row>
    <row r="110" customHeight="1" spans="1:28">
      <c r="A110" s="50"/>
      <c r="B110" s="50"/>
      <c r="C110" s="58" t="s">
        <v>37</v>
      </c>
      <c r="D110" s="70">
        <v>73677</v>
      </c>
      <c r="E110" s="70">
        <v>59412</v>
      </c>
      <c r="F110" s="70">
        <v>74884</v>
      </c>
      <c r="G110" s="70">
        <v>68744</v>
      </c>
      <c r="H110" s="70">
        <v>93189</v>
      </c>
      <c r="I110" s="87">
        <v>369905</v>
      </c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</row>
    <row r="111" customHeight="1" spans="1:28">
      <c r="A111" s="50"/>
      <c r="B111" s="50"/>
      <c r="C111" s="58" t="s">
        <v>38</v>
      </c>
      <c r="D111" s="70">
        <v>113168</v>
      </c>
      <c r="E111" s="70">
        <v>94020</v>
      </c>
      <c r="F111" s="70">
        <v>179599</v>
      </c>
      <c r="G111" s="70">
        <v>68744</v>
      </c>
      <c r="H111" s="70">
        <v>217790</v>
      </c>
      <c r="I111" s="87">
        <v>673321</v>
      </c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</row>
    <row r="112" customHeight="1" spans="1:28">
      <c r="A112" s="50"/>
      <c r="B112" s="50"/>
      <c r="C112" s="58" t="s">
        <v>39</v>
      </c>
      <c r="D112" s="70">
        <v>222630</v>
      </c>
      <c r="E112" s="70">
        <v>182480</v>
      </c>
      <c r="F112" s="70">
        <v>333129</v>
      </c>
      <c r="G112" s="70">
        <v>75186</v>
      </c>
      <c r="H112" s="70">
        <v>544092</v>
      </c>
      <c r="I112" s="87">
        <v>1357517</v>
      </c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</row>
    <row r="113" customHeight="1" spans="1:28">
      <c r="A113" s="50"/>
      <c r="B113" s="50"/>
      <c r="C113" s="58" t="s">
        <v>40</v>
      </c>
      <c r="D113" s="70">
        <v>348398</v>
      </c>
      <c r="E113" s="70">
        <v>264485</v>
      </c>
      <c r="F113" s="70">
        <v>418852</v>
      </c>
      <c r="G113" s="70">
        <v>75186</v>
      </c>
      <c r="H113" s="70">
        <v>702253</v>
      </c>
      <c r="I113" s="87">
        <v>1809173</v>
      </c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</row>
    <row r="114" customHeight="1" spans="1:28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</row>
    <row r="115" customHeight="1" spans="1:28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</row>
    <row r="116" customHeight="1" spans="1:28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</row>
    <row r="117" customHeight="1" spans="1:28">
      <c r="A117" s="50"/>
      <c r="B117" s="50" t="s">
        <v>13</v>
      </c>
      <c r="C117" s="68" t="s">
        <v>13</v>
      </c>
      <c r="D117" s="68" t="s">
        <v>21</v>
      </c>
      <c r="E117" s="68" t="s">
        <v>22</v>
      </c>
      <c r="F117" s="68" t="s">
        <v>23</v>
      </c>
      <c r="G117" s="68" t="s">
        <v>24</v>
      </c>
      <c r="H117" s="75" t="s">
        <v>25</v>
      </c>
      <c r="I117" s="75" t="s">
        <v>33</v>
      </c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</row>
    <row r="118" customHeight="1" spans="1:28">
      <c r="A118" s="50"/>
      <c r="B118" s="50"/>
      <c r="C118" s="58" t="s">
        <v>3</v>
      </c>
      <c r="D118" s="69">
        <v>5</v>
      </c>
      <c r="E118" s="69">
        <v>6</v>
      </c>
      <c r="F118" s="69">
        <v>4</v>
      </c>
      <c r="G118" s="69">
        <v>11</v>
      </c>
      <c r="H118" s="69">
        <v>7</v>
      </c>
      <c r="I118" s="86">
        <v>33</v>
      </c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</row>
    <row r="119" customHeight="1" spans="1:28">
      <c r="A119" s="50"/>
      <c r="B119" s="50"/>
      <c r="C119" s="58" t="s">
        <v>37</v>
      </c>
      <c r="D119" s="69">
        <v>7</v>
      </c>
      <c r="E119" s="69">
        <v>6</v>
      </c>
      <c r="F119" s="69">
        <v>5</v>
      </c>
      <c r="G119" s="69">
        <v>12</v>
      </c>
      <c r="H119" s="69">
        <v>7</v>
      </c>
      <c r="I119" s="86">
        <v>38</v>
      </c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</row>
    <row r="120" customHeight="1" spans="1:28">
      <c r="A120" s="50"/>
      <c r="B120" s="50"/>
      <c r="C120" s="58" t="s">
        <v>38</v>
      </c>
      <c r="D120" s="69">
        <v>10</v>
      </c>
      <c r="E120" s="69">
        <v>10</v>
      </c>
      <c r="F120" s="69">
        <v>13</v>
      </c>
      <c r="G120" s="69">
        <v>12</v>
      </c>
      <c r="H120" s="69">
        <v>17</v>
      </c>
      <c r="I120" s="86">
        <v>62</v>
      </c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</row>
    <row r="121" customHeight="1" spans="1:28">
      <c r="A121" s="50"/>
      <c r="B121" s="50"/>
      <c r="C121" s="58" t="s">
        <v>39</v>
      </c>
      <c r="D121" s="69">
        <v>20</v>
      </c>
      <c r="E121" s="69">
        <v>18</v>
      </c>
      <c r="F121" s="69">
        <v>24</v>
      </c>
      <c r="G121" s="69">
        <v>14</v>
      </c>
      <c r="H121" s="69">
        <v>43</v>
      </c>
      <c r="I121" s="86">
        <v>120</v>
      </c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</row>
    <row r="122" customHeight="1" spans="1:28">
      <c r="A122" s="50"/>
      <c r="B122" s="50"/>
      <c r="C122" s="58" t="s">
        <v>40</v>
      </c>
      <c r="D122" s="69">
        <v>31</v>
      </c>
      <c r="E122" s="69">
        <v>27</v>
      </c>
      <c r="F122" s="69">
        <v>30</v>
      </c>
      <c r="G122" s="69">
        <v>14</v>
      </c>
      <c r="H122" s="69">
        <v>56</v>
      </c>
      <c r="I122" s="86">
        <v>158</v>
      </c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</row>
    <row r="123" customHeight="1" spans="1:28">
      <c r="A123" s="50"/>
      <c r="B123" s="50"/>
      <c r="C123" s="58" t="s">
        <v>41</v>
      </c>
      <c r="D123" s="69">
        <v>63</v>
      </c>
      <c r="E123" s="69">
        <v>49</v>
      </c>
      <c r="F123" s="69">
        <v>43</v>
      </c>
      <c r="G123" s="69">
        <v>14</v>
      </c>
      <c r="H123" s="69">
        <v>135</v>
      </c>
      <c r="I123" s="86">
        <v>304</v>
      </c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</row>
    <row r="124" customHeight="1" spans="1:28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</row>
    <row r="125" customHeight="1" spans="1:28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</row>
    <row r="126" customHeight="1" spans="1:28">
      <c r="A126" s="50"/>
      <c r="B126" s="50"/>
      <c r="C126" s="68" t="s">
        <v>13</v>
      </c>
      <c r="D126" s="68" t="s">
        <v>21</v>
      </c>
      <c r="E126" s="68" t="s">
        <v>22</v>
      </c>
      <c r="F126" s="68" t="s">
        <v>23</v>
      </c>
      <c r="G126" s="68" t="s">
        <v>24</v>
      </c>
      <c r="H126" s="75" t="s">
        <v>25</v>
      </c>
      <c r="I126" s="75" t="s">
        <v>33</v>
      </c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</row>
    <row r="127" customHeight="1" spans="1:28">
      <c r="A127" s="50"/>
      <c r="B127" s="50" t="s">
        <v>13</v>
      </c>
      <c r="C127" s="58" t="s">
        <v>3</v>
      </c>
      <c r="D127" s="70">
        <v>65000</v>
      </c>
      <c r="E127" s="70">
        <v>65000</v>
      </c>
      <c r="F127" s="70">
        <v>70000</v>
      </c>
      <c r="G127" s="70">
        <v>70000</v>
      </c>
      <c r="H127" s="70">
        <v>90000</v>
      </c>
      <c r="I127" s="87">
        <v>360000</v>
      </c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</row>
    <row r="128" customHeight="1" spans="1:28">
      <c r="A128" s="50"/>
      <c r="B128" s="50"/>
      <c r="C128" s="58" t="s">
        <v>37</v>
      </c>
      <c r="D128" s="70">
        <v>81369</v>
      </c>
      <c r="E128" s="70">
        <v>69412</v>
      </c>
      <c r="F128" s="70">
        <v>86512</v>
      </c>
      <c r="G128" s="70">
        <v>79558</v>
      </c>
      <c r="H128" s="70">
        <v>98452</v>
      </c>
      <c r="I128" s="87">
        <v>415302</v>
      </c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</row>
    <row r="129" customHeight="1" spans="1:28">
      <c r="A129" s="50"/>
      <c r="B129" s="50"/>
      <c r="C129" s="58" t="s">
        <v>38</v>
      </c>
      <c r="D129" s="70">
        <v>125989</v>
      </c>
      <c r="E129" s="70">
        <v>109020</v>
      </c>
      <c r="F129" s="70">
        <v>201133</v>
      </c>
      <c r="G129" s="70">
        <v>79558</v>
      </c>
      <c r="H129" s="70">
        <v>227911</v>
      </c>
      <c r="I129" s="87">
        <v>743610</v>
      </c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</row>
    <row r="130" customHeight="1" spans="1:28">
      <c r="A130" s="50"/>
      <c r="B130" s="50"/>
      <c r="C130" s="58" t="s">
        <v>39</v>
      </c>
      <c r="D130" s="70">
        <v>245524</v>
      </c>
      <c r="E130" s="70">
        <v>210627</v>
      </c>
      <c r="F130" s="70">
        <v>385649</v>
      </c>
      <c r="G130" s="70">
        <v>87348</v>
      </c>
      <c r="H130" s="70">
        <v>573861</v>
      </c>
      <c r="I130" s="87">
        <v>1503009</v>
      </c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</row>
    <row r="131" customHeight="1" spans="1:28">
      <c r="A131" s="50"/>
      <c r="B131" s="50"/>
      <c r="C131" s="58" t="s">
        <v>40</v>
      </c>
      <c r="D131" s="70">
        <v>377015</v>
      </c>
      <c r="E131" s="70">
        <v>306619</v>
      </c>
      <c r="F131" s="70">
        <v>482900</v>
      </c>
      <c r="G131" s="70">
        <v>87348</v>
      </c>
      <c r="H131" s="70">
        <v>744780</v>
      </c>
      <c r="I131" s="87">
        <v>1998662</v>
      </c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</row>
    <row r="132" customHeight="1" spans="1:28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</row>
    <row r="133" customHeight="1" spans="1:28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</row>
    <row r="134" customHeight="1" spans="1:28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</row>
    <row r="135" customHeight="1" spans="1:28">
      <c r="A135" s="50"/>
      <c r="B135" s="50"/>
      <c r="C135" s="67" t="s">
        <v>56</v>
      </c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</row>
    <row r="136" customHeight="1" spans="1:28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</row>
    <row r="137" customHeight="1" spans="1:28">
      <c r="A137" s="50"/>
      <c r="B137" s="50"/>
      <c r="C137" s="50" t="s">
        <v>59</v>
      </c>
      <c r="D137" s="68" t="s">
        <v>56</v>
      </c>
      <c r="E137" s="68" t="s">
        <v>21</v>
      </c>
      <c r="F137" s="68" t="s">
        <v>22</v>
      </c>
      <c r="G137" s="68" t="s">
        <v>23</v>
      </c>
      <c r="H137" s="68" t="s">
        <v>24</v>
      </c>
      <c r="I137" s="75" t="s">
        <v>25</v>
      </c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</row>
    <row r="138" customHeight="1" spans="1:28">
      <c r="A138" s="50"/>
      <c r="B138" s="50"/>
      <c r="C138" s="50"/>
      <c r="D138" s="68" t="s">
        <v>26</v>
      </c>
      <c r="E138" s="88">
        <v>0.5</v>
      </c>
      <c r="F138" s="88">
        <v>0.5</v>
      </c>
      <c r="G138" s="88">
        <v>0.52</v>
      </c>
      <c r="H138" s="88">
        <v>0.9</v>
      </c>
      <c r="I138" s="88">
        <v>0.53</v>
      </c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</row>
    <row r="139" customHeight="1" spans="1:28">
      <c r="A139" s="50"/>
      <c r="B139" s="50"/>
      <c r="C139" s="50"/>
      <c r="D139" s="68" t="s">
        <v>27</v>
      </c>
      <c r="E139" s="88">
        <v>0.5</v>
      </c>
      <c r="F139" s="88">
        <v>0.71</v>
      </c>
      <c r="G139" s="88">
        <v>0.95</v>
      </c>
      <c r="H139" s="88">
        <v>1</v>
      </c>
      <c r="I139" s="88">
        <v>0.71</v>
      </c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</row>
    <row r="140" customHeight="1" spans="1:28">
      <c r="A140" s="50"/>
      <c r="B140" s="50"/>
      <c r="C140" s="50"/>
      <c r="D140" s="68" t="s">
        <v>60</v>
      </c>
      <c r="E140" s="88">
        <v>0.5</v>
      </c>
      <c r="F140" s="88">
        <v>0.5</v>
      </c>
      <c r="G140" s="88">
        <v>0.57</v>
      </c>
      <c r="H140" s="88">
        <v>0.95</v>
      </c>
      <c r="I140" s="88">
        <v>0.52</v>
      </c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</row>
    <row r="141" customHeight="1" spans="1:28">
      <c r="A141" s="50"/>
      <c r="B141" s="50"/>
      <c r="C141" s="50"/>
      <c r="D141" s="68" t="s">
        <v>29</v>
      </c>
      <c r="E141" s="88">
        <v>0.65</v>
      </c>
      <c r="F141" s="88">
        <v>0.6</v>
      </c>
      <c r="G141" s="88">
        <v>1</v>
      </c>
      <c r="H141" s="88">
        <v>1</v>
      </c>
      <c r="I141" s="88">
        <v>0.4</v>
      </c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</row>
    <row r="142" customHeight="1" spans="1:28">
      <c r="A142" s="50"/>
      <c r="B142" s="50"/>
      <c r="C142" s="50"/>
      <c r="D142" s="68" t="s">
        <v>30</v>
      </c>
      <c r="E142" s="88">
        <v>0.85</v>
      </c>
      <c r="F142" s="88">
        <v>0.85</v>
      </c>
      <c r="G142" s="88">
        <v>1</v>
      </c>
      <c r="H142" s="88">
        <v>0.82</v>
      </c>
      <c r="I142" s="88">
        <v>0.85</v>
      </c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</row>
    <row r="143" customHeight="1" spans="1:28">
      <c r="A143" s="50"/>
      <c r="B143" s="50"/>
      <c r="C143" s="50"/>
      <c r="D143" s="68" t="s">
        <v>31</v>
      </c>
      <c r="E143" s="89">
        <f t="shared" ref="E143:I143" si="0">E138*E139*E140*E141*E142</f>
        <v>0.0690625</v>
      </c>
      <c r="F143" s="89">
        <f t="shared" si="0"/>
        <v>0.090525</v>
      </c>
      <c r="G143" s="89">
        <f t="shared" si="0"/>
        <v>0.28158</v>
      </c>
      <c r="H143" s="89">
        <f t="shared" si="0"/>
        <v>0.7011</v>
      </c>
      <c r="I143" s="89">
        <f t="shared" si="0"/>
        <v>0.06652984</v>
      </c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</row>
    <row r="144" customHeight="1" spans="1:28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</row>
    <row r="145" customHeight="1" spans="1:28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</row>
    <row r="146" customHeight="1" spans="1:28">
      <c r="A146" s="50"/>
      <c r="B146" s="50"/>
      <c r="C146" s="50"/>
      <c r="D146" s="68" t="s">
        <v>32</v>
      </c>
      <c r="E146" s="68" t="s">
        <v>21</v>
      </c>
      <c r="F146" s="68" t="s">
        <v>22</v>
      </c>
      <c r="G146" s="68" t="s">
        <v>23</v>
      </c>
      <c r="H146" s="68" t="s">
        <v>24</v>
      </c>
      <c r="I146" s="75" t="s">
        <v>25</v>
      </c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</row>
    <row r="147" customHeight="1" spans="1:28">
      <c r="A147" s="50"/>
      <c r="B147" s="50"/>
      <c r="C147" s="50" t="s">
        <v>10</v>
      </c>
      <c r="D147" s="58" t="s">
        <v>47</v>
      </c>
      <c r="E147" s="70">
        <v>25000</v>
      </c>
      <c r="F147" s="70">
        <v>25000</v>
      </c>
      <c r="G147" s="70">
        <v>10000</v>
      </c>
      <c r="H147" s="70">
        <v>15000</v>
      </c>
      <c r="I147" s="70">
        <v>20000</v>
      </c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</row>
    <row r="148" customHeight="1" spans="1:28">
      <c r="A148" s="50"/>
      <c r="B148" s="50"/>
      <c r="C148" s="50"/>
      <c r="D148" s="58" t="s">
        <v>35</v>
      </c>
      <c r="E148" s="70">
        <v>12000</v>
      </c>
      <c r="F148" s="70">
        <v>11000</v>
      </c>
      <c r="G148" s="70">
        <v>15000</v>
      </c>
      <c r="H148" s="70">
        <v>8400</v>
      </c>
      <c r="I148" s="70">
        <v>14000</v>
      </c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</row>
    <row r="149" customHeight="1" spans="1:28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</row>
    <row r="150" customHeight="1" spans="1:28">
      <c r="A150" s="50"/>
      <c r="B150" s="50"/>
      <c r="C150" s="50"/>
      <c r="D150" s="68" t="s">
        <v>0</v>
      </c>
      <c r="E150" s="68" t="s">
        <v>21</v>
      </c>
      <c r="F150" s="68" t="s">
        <v>22</v>
      </c>
      <c r="G150" s="68" t="s">
        <v>23</v>
      </c>
      <c r="H150" s="68" t="s">
        <v>24</v>
      </c>
      <c r="I150" s="75" t="s">
        <v>25</v>
      </c>
      <c r="J150" s="75" t="s">
        <v>33</v>
      </c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</row>
    <row r="151" customHeight="1" spans="1:28">
      <c r="A151" s="50"/>
      <c r="B151" s="50"/>
      <c r="C151" s="50" t="s">
        <v>36</v>
      </c>
      <c r="D151" s="58" t="s">
        <v>3</v>
      </c>
      <c r="E151" s="69">
        <f t="shared" ref="E151:I151" si="1">E147/E148</f>
        <v>2.08333333333333</v>
      </c>
      <c r="F151" s="69">
        <f t="shared" si="1"/>
        <v>2.27272727272727</v>
      </c>
      <c r="G151" s="69">
        <f t="shared" si="1"/>
        <v>0.666666666666667</v>
      </c>
      <c r="H151" s="69">
        <f t="shared" si="1"/>
        <v>1.78571428571429</v>
      </c>
      <c r="I151" s="69">
        <f t="shared" si="1"/>
        <v>1.42857142857143</v>
      </c>
      <c r="J151" s="86">
        <f t="shared" ref="J151:J156" si="2">SUM(E151:I151)</f>
        <v>8.23701298701299</v>
      </c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</row>
    <row r="152" customHeight="1" spans="1:28">
      <c r="A152" s="50"/>
      <c r="B152" s="50"/>
      <c r="C152" s="50" t="s">
        <v>10</v>
      </c>
      <c r="D152" s="58" t="s">
        <v>37</v>
      </c>
      <c r="E152" s="69">
        <f t="shared" ref="E152:I152" si="3">E161/E148</f>
        <v>2.45098039215686</v>
      </c>
      <c r="F152" s="69">
        <f t="shared" si="3"/>
        <v>2.67379679144385</v>
      </c>
      <c r="G152" s="69">
        <f t="shared" si="3"/>
        <v>0.666666666666667</v>
      </c>
      <c r="H152" s="69">
        <f t="shared" si="3"/>
        <v>2.17770034843206</v>
      </c>
      <c r="I152" s="69">
        <f t="shared" si="3"/>
        <v>1.68067226890756</v>
      </c>
      <c r="J152" s="86">
        <f t="shared" si="2"/>
        <v>9.649816467607</v>
      </c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</row>
    <row r="153" customHeight="1" spans="1:28">
      <c r="A153" s="50"/>
      <c r="B153" s="50"/>
      <c r="C153" s="50"/>
      <c r="D153" s="58" t="s">
        <v>38</v>
      </c>
      <c r="E153" s="69">
        <f t="shared" ref="E153:I153" si="4">E162/E148</f>
        <v>3.77073906485671</v>
      </c>
      <c r="F153" s="69">
        <f t="shared" si="4"/>
        <v>4.45632798573975</v>
      </c>
      <c r="G153" s="69">
        <f t="shared" si="4"/>
        <v>0.666666666666667</v>
      </c>
      <c r="H153" s="69">
        <f t="shared" si="4"/>
        <v>2.17770034843206</v>
      </c>
      <c r="I153" s="69">
        <f t="shared" si="4"/>
        <v>4.20168067226891</v>
      </c>
      <c r="J153" s="86">
        <f t="shared" si="2"/>
        <v>15.2731147379641</v>
      </c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</row>
    <row r="154" customHeight="1" spans="1:28">
      <c r="A154" s="50"/>
      <c r="B154" s="50"/>
      <c r="C154" s="50"/>
      <c r="D154" s="58" t="s">
        <v>39</v>
      </c>
      <c r="E154" s="69">
        <f t="shared" ref="E154:I154" si="5">E163/E148</f>
        <v>7.54147812971342</v>
      </c>
      <c r="F154" s="69">
        <f t="shared" si="5"/>
        <v>8.9126559714795</v>
      </c>
      <c r="G154" s="69">
        <f t="shared" si="5"/>
        <v>1.16959064327485</v>
      </c>
      <c r="H154" s="69">
        <f t="shared" si="5"/>
        <v>2.29231615624427</v>
      </c>
      <c r="I154" s="69">
        <f t="shared" si="5"/>
        <v>8.08015513897867</v>
      </c>
      <c r="J154" s="86">
        <f t="shared" si="2"/>
        <v>27.9961960396907</v>
      </c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</row>
    <row r="155" customHeight="1" spans="1:28">
      <c r="A155" s="50"/>
      <c r="B155" s="50"/>
      <c r="C155" s="50"/>
      <c r="D155" s="58" t="s">
        <v>40</v>
      </c>
      <c r="E155" s="69">
        <f t="shared" ref="E155:I155" si="6">E164/E148</f>
        <v>15.0829562594268</v>
      </c>
      <c r="F155" s="69">
        <f t="shared" si="6"/>
        <v>12.5530365795486</v>
      </c>
      <c r="G155" s="69">
        <f t="shared" si="6"/>
        <v>1.23114804555248</v>
      </c>
      <c r="H155" s="69">
        <f t="shared" si="6"/>
        <v>2.29231615624427</v>
      </c>
      <c r="I155" s="69">
        <f t="shared" si="6"/>
        <v>11.3805001957446</v>
      </c>
      <c r="J155" s="86">
        <f t="shared" si="2"/>
        <v>42.5399572365168</v>
      </c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</row>
    <row r="156" customHeight="1" spans="1:28">
      <c r="A156" s="50"/>
      <c r="B156" s="50"/>
      <c r="C156" s="50"/>
      <c r="D156" s="58" t="s">
        <v>41</v>
      </c>
      <c r="E156" s="69">
        <f t="shared" ref="E156:I156" si="7">E155/E138</f>
        <v>30.1659125188537</v>
      </c>
      <c r="F156" s="69">
        <f t="shared" si="7"/>
        <v>25.1060731590972</v>
      </c>
      <c r="G156" s="69">
        <f t="shared" si="7"/>
        <v>2.36759239529323</v>
      </c>
      <c r="H156" s="69">
        <f t="shared" si="7"/>
        <v>2.54701795138252</v>
      </c>
      <c r="I156" s="69">
        <f t="shared" si="7"/>
        <v>21.4726418787634</v>
      </c>
      <c r="J156" s="86">
        <f t="shared" si="2"/>
        <v>81.65923790339</v>
      </c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</row>
    <row r="157" customHeight="1" spans="1:28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</row>
    <row r="158" customHeight="1" spans="1:2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</row>
    <row r="159" customHeight="1" spans="1:28">
      <c r="A159" s="50"/>
      <c r="B159" s="50"/>
      <c r="C159" s="50"/>
      <c r="D159" s="68" t="s">
        <v>0</v>
      </c>
      <c r="E159" s="68" t="s">
        <v>21</v>
      </c>
      <c r="F159" s="68" t="s">
        <v>22</v>
      </c>
      <c r="G159" s="68" t="s">
        <v>23</v>
      </c>
      <c r="H159" s="68" t="s">
        <v>24</v>
      </c>
      <c r="I159" s="75" t="s">
        <v>25</v>
      </c>
      <c r="J159" s="75" t="s">
        <v>33</v>
      </c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</row>
    <row r="160" customHeight="1" spans="1:28">
      <c r="A160" s="50"/>
      <c r="B160" s="50"/>
      <c r="C160" s="50" t="s">
        <v>10</v>
      </c>
      <c r="D160" s="58" t="s">
        <v>3</v>
      </c>
      <c r="E160" s="70">
        <f t="shared" ref="E160:I160" si="8">E147</f>
        <v>25000</v>
      </c>
      <c r="F160" s="70">
        <f t="shared" si="8"/>
        <v>25000</v>
      </c>
      <c r="G160" s="70">
        <f t="shared" si="8"/>
        <v>10000</v>
      </c>
      <c r="H160" s="70">
        <f t="shared" si="8"/>
        <v>15000</v>
      </c>
      <c r="I160" s="70">
        <f t="shared" si="8"/>
        <v>20000</v>
      </c>
      <c r="J160" s="70">
        <f t="shared" ref="J160:J164" si="9">SUM(E160:I160)</f>
        <v>95000</v>
      </c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</row>
    <row r="161" customHeight="1" spans="1:28">
      <c r="A161" s="50"/>
      <c r="B161" s="50"/>
      <c r="C161" s="50"/>
      <c r="D161" s="58" t="s">
        <v>37</v>
      </c>
      <c r="E161" s="70">
        <f t="shared" ref="E161:I161" si="10">E147/E142</f>
        <v>29411.7647058824</v>
      </c>
      <c r="F161" s="70">
        <f t="shared" si="10"/>
        <v>29411.7647058824</v>
      </c>
      <c r="G161" s="70">
        <f t="shared" si="10"/>
        <v>10000</v>
      </c>
      <c r="H161" s="70">
        <f t="shared" si="10"/>
        <v>18292.6829268293</v>
      </c>
      <c r="I161" s="70">
        <f t="shared" si="10"/>
        <v>23529.4117647059</v>
      </c>
      <c r="J161" s="70">
        <f t="shared" si="9"/>
        <v>110645.6241033</v>
      </c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</row>
    <row r="162" customHeight="1" spans="1:28">
      <c r="A162" s="50"/>
      <c r="B162" s="50"/>
      <c r="C162" s="50"/>
      <c r="D162" s="58" t="s">
        <v>38</v>
      </c>
      <c r="E162" s="70">
        <f t="shared" ref="E162:I162" si="11">E161/E141</f>
        <v>45248.8687782805</v>
      </c>
      <c r="F162" s="70">
        <f t="shared" si="11"/>
        <v>49019.6078431373</v>
      </c>
      <c r="G162" s="70">
        <f t="shared" si="11"/>
        <v>10000</v>
      </c>
      <c r="H162" s="70">
        <f t="shared" si="11"/>
        <v>18292.6829268293</v>
      </c>
      <c r="I162" s="70">
        <f t="shared" si="11"/>
        <v>58823.5294117647</v>
      </c>
      <c r="J162" s="70">
        <f t="shared" si="9"/>
        <v>181384.688960012</v>
      </c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</row>
    <row r="163" customHeight="1" spans="1:28">
      <c r="A163" s="50"/>
      <c r="B163" s="50"/>
      <c r="C163" s="50"/>
      <c r="D163" s="58" t="s">
        <v>39</v>
      </c>
      <c r="E163" s="70">
        <f t="shared" ref="E163:I163" si="12">E162/E140</f>
        <v>90497.7375565611</v>
      </c>
      <c r="F163" s="70">
        <f t="shared" si="12"/>
        <v>98039.2156862745</v>
      </c>
      <c r="G163" s="70">
        <f t="shared" si="12"/>
        <v>17543.8596491228</v>
      </c>
      <c r="H163" s="70">
        <f t="shared" si="12"/>
        <v>19255.4557124519</v>
      </c>
      <c r="I163" s="70">
        <f t="shared" si="12"/>
        <v>113122.171945701</v>
      </c>
      <c r="J163" s="70">
        <f t="shared" si="9"/>
        <v>338458.440550112</v>
      </c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</row>
    <row r="164" customHeight="1" spans="1:28">
      <c r="A164" s="50"/>
      <c r="B164" s="50"/>
      <c r="C164" s="50"/>
      <c r="D164" s="58" t="s">
        <v>40</v>
      </c>
      <c r="E164" s="70">
        <f t="shared" ref="E164:I164" si="13">E163/E139</f>
        <v>180995.475113122</v>
      </c>
      <c r="F164" s="70">
        <f t="shared" si="13"/>
        <v>138083.402375035</v>
      </c>
      <c r="G164" s="70">
        <f t="shared" si="13"/>
        <v>18467.2206832872</v>
      </c>
      <c r="H164" s="70">
        <f t="shared" si="13"/>
        <v>19255.4557124519</v>
      </c>
      <c r="I164" s="70">
        <f t="shared" si="13"/>
        <v>159327.002740424</v>
      </c>
      <c r="J164" s="70">
        <f t="shared" si="9"/>
        <v>516128.55662432</v>
      </c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</row>
    <row r="165" customHeight="1" spans="1:28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</row>
    <row r="166" customHeight="1" spans="1:28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</row>
    <row r="167" customHeight="1" spans="1:28">
      <c r="A167" s="50"/>
      <c r="B167" s="50"/>
      <c r="C167" s="50" t="s">
        <v>11</v>
      </c>
      <c r="D167" s="68" t="s">
        <v>32</v>
      </c>
      <c r="E167" s="68" t="s">
        <v>21</v>
      </c>
      <c r="F167" s="68" t="s">
        <v>22</v>
      </c>
      <c r="G167" s="68" t="s">
        <v>23</v>
      </c>
      <c r="H167" s="68" t="s">
        <v>24</v>
      </c>
      <c r="I167" s="75" t="s">
        <v>25</v>
      </c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</row>
    <row r="168" customHeight="1" spans="1:28">
      <c r="A168" s="50"/>
      <c r="B168" s="50"/>
      <c r="C168" s="50"/>
      <c r="D168" s="58" t="s">
        <v>48</v>
      </c>
      <c r="E168" s="70">
        <v>30000</v>
      </c>
      <c r="F168" s="70">
        <v>25000</v>
      </c>
      <c r="G168" s="70">
        <v>10000</v>
      </c>
      <c r="H168" s="70">
        <v>20000</v>
      </c>
      <c r="I168" s="70">
        <v>20000</v>
      </c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</row>
    <row r="169" customHeight="1" spans="1:28">
      <c r="A169" s="50"/>
      <c r="B169" s="50"/>
      <c r="C169" s="50"/>
      <c r="D169" s="58" t="s">
        <v>35</v>
      </c>
      <c r="E169" s="70">
        <v>12000</v>
      </c>
      <c r="F169" s="70">
        <v>11000</v>
      </c>
      <c r="G169" s="70">
        <v>15000</v>
      </c>
      <c r="H169" s="70">
        <v>8400</v>
      </c>
      <c r="I169" s="70">
        <v>14000</v>
      </c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</row>
    <row r="170" customHeight="1" spans="1:28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</row>
    <row r="171" customHeight="1" spans="1:28">
      <c r="A171" s="50"/>
      <c r="B171" s="50"/>
      <c r="C171" s="50" t="s">
        <v>36</v>
      </c>
      <c r="D171" s="68" t="s">
        <v>0</v>
      </c>
      <c r="E171" s="68" t="s">
        <v>21</v>
      </c>
      <c r="F171" s="68" t="s">
        <v>22</v>
      </c>
      <c r="G171" s="68" t="s">
        <v>23</v>
      </c>
      <c r="H171" s="68" t="s">
        <v>24</v>
      </c>
      <c r="I171" s="75" t="s">
        <v>25</v>
      </c>
      <c r="J171" s="75" t="s">
        <v>33</v>
      </c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</row>
    <row r="172" customHeight="1" spans="1:28">
      <c r="A172" s="50"/>
      <c r="B172" s="50"/>
      <c r="C172" s="50" t="s">
        <v>11</v>
      </c>
      <c r="D172" s="58" t="s">
        <v>3</v>
      </c>
      <c r="E172" s="69">
        <f t="shared" ref="E172:I172" si="14">E168/E169</f>
        <v>2.5</v>
      </c>
      <c r="F172" s="69">
        <f t="shared" si="14"/>
        <v>2.27272727272727</v>
      </c>
      <c r="G172" s="69">
        <f t="shared" si="14"/>
        <v>0.666666666666667</v>
      </c>
      <c r="H172" s="69">
        <f t="shared" si="14"/>
        <v>2.38095238095238</v>
      </c>
      <c r="I172" s="69">
        <f t="shared" si="14"/>
        <v>1.42857142857143</v>
      </c>
      <c r="J172" s="86">
        <f t="shared" ref="J172:J177" si="15">SUM(E172:I172)</f>
        <v>9.24891774891775</v>
      </c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</row>
    <row r="173" customHeight="1" spans="1:28">
      <c r="A173" s="50"/>
      <c r="B173" s="50"/>
      <c r="C173" s="50"/>
      <c r="D173" s="58" t="s">
        <v>37</v>
      </c>
      <c r="E173" s="69">
        <f t="shared" ref="E173:I173" si="16">E182/E169</f>
        <v>2.94117647058824</v>
      </c>
      <c r="F173" s="69">
        <f t="shared" si="16"/>
        <v>2.67379679144385</v>
      </c>
      <c r="G173" s="69">
        <f t="shared" si="16"/>
        <v>0.666666666666667</v>
      </c>
      <c r="H173" s="69">
        <f t="shared" si="16"/>
        <v>2.90360046457607</v>
      </c>
      <c r="I173" s="69">
        <f t="shared" si="16"/>
        <v>1.68067226890756</v>
      </c>
      <c r="J173" s="86">
        <f t="shared" si="15"/>
        <v>10.8659126621824</v>
      </c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</row>
    <row r="174" customHeight="1" spans="1:28">
      <c r="A174" s="50"/>
      <c r="B174" s="50"/>
      <c r="C174" s="50"/>
      <c r="D174" s="58" t="s">
        <v>38</v>
      </c>
      <c r="E174" s="69">
        <f t="shared" ref="E174:I174" si="17">E183/E169</f>
        <v>4.52488687782805</v>
      </c>
      <c r="F174" s="69">
        <f t="shared" si="17"/>
        <v>4.45632798573975</v>
      </c>
      <c r="G174" s="69">
        <f t="shared" si="17"/>
        <v>0.666666666666667</v>
      </c>
      <c r="H174" s="69">
        <f t="shared" si="17"/>
        <v>2.90360046457607</v>
      </c>
      <c r="I174" s="69">
        <f t="shared" si="17"/>
        <v>4.20168067226891</v>
      </c>
      <c r="J174" s="86">
        <f t="shared" si="15"/>
        <v>16.7531626670795</v>
      </c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</row>
    <row r="175" customHeight="1" spans="1:28">
      <c r="A175" s="50"/>
      <c r="B175" s="50"/>
      <c r="C175" s="50"/>
      <c r="D175" s="58" t="s">
        <v>39</v>
      </c>
      <c r="E175" s="69">
        <f t="shared" ref="E175:I175" si="18">E184/E169</f>
        <v>9.04977375565611</v>
      </c>
      <c r="F175" s="69">
        <f t="shared" si="18"/>
        <v>8.9126559714795</v>
      </c>
      <c r="G175" s="69">
        <f t="shared" si="18"/>
        <v>1.16959064327485</v>
      </c>
      <c r="H175" s="69">
        <f t="shared" si="18"/>
        <v>3.05642154165903</v>
      </c>
      <c r="I175" s="69">
        <f t="shared" si="18"/>
        <v>8.08015513897867</v>
      </c>
      <c r="J175" s="86">
        <f t="shared" si="15"/>
        <v>30.2685970510482</v>
      </c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</row>
    <row r="176" customHeight="1" spans="1:28">
      <c r="A176" s="50"/>
      <c r="B176" s="50"/>
      <c r="C176" s="50"/>
      <c r="D176" s="58" t="s">
        <v>40</v>
      </c>
      <c r="E176" s="69">
        <f t="shared" ref="E176:I176" si="19">E185/E169</f>
        <v>18.0995475113122</v>
      </c>
      <c r="F176" s="69">
        <f t="shared" si="19"/>
        <v>12.5530365795486</v>
      </c>
      <c r="G176" s="69">
        <f t="shared" si="19"/>
        <v>1.23114804555248</v>
      </c>
      <c r="H176" s="69">
        <f t="shared" si="19"/>
        <v>3.05642154165903</v>
      </c>
      <c r="I176" s="69">
        <f t="shared" si="19"/>
        <v>11.3805001957446</v>
      </c>
      <c r="J176" s="86">
        <f t="shared" si="15"/>
        <v>46.3206538738169</v>
      </c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</row>
    <row r="177" customHeight="1" spans="1:28">
      <c r="A177" s="50"/>
      <c r="B177" s="50"/>
      <c r="C177" s="50"/>
      <c r="D177" s="58" t="s">
        <v>41</v>
      </c>
      <c r="E177" s="69">
        <f t="shared" ref="E177:I177" si="20">E176/E138</f>
        <v>36.1990950226244</v>
      </c>
      <c r="F177" s="69">
        <f t="shared" si="20"/>
        <v>25.1060731590972</v>
      </c>
      <c r="G177" s="69">
        <f t="shared" si="20"/>
        <v>2.36759239529323</v>
      </c>
      <c r="H177" s="69">
        <f t="shared" si="20"/>
        <v>3.3960239351767</v>
      </c>
      <c r="I177" s="69">
        <f t="shared" si="20"/>
        <v>21.4726418787634</v>
      </c>
      <c r="J177" s="86">
        <f t="shared" si="15"/>
        <v>88.541426390955</v>
      </c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</row>
    <row r="178" customHeight="1" spans="1:2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</row>
    <row r="179" customHeight="1" spans="1:28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</row>
    <row r="180" customHeight="1" spans="1:28">
      <c r="A180" s="50"/>
      <c r="B180" s="50"/>
      <c r="C180" s="50" t="s">
        <v>42</v>
      </c>
      <c r="D180" s="68" t="s">
        <v>0</v>
      </c>
      <c r="E180" s="68" t="s">
        <v>21</v>
      </c>
      <c r="F180" s="68" t="s">
        <v>22</v>
      </c>
      <c r="G180" s="68" t="s">
        <v>23</v>
      </c>
      <c r="H180" s="68" t="s">
        <v>24</v>
      </c>
      <c r="I180" s="75" t="s">
        <v>25</v>
      </c>
      <c r="J180" s="75" t="s">
        <v>33</v>
      </c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</row>
    <row r="181" customHeight="1" spans="1:28">
      <c r="A181" s="50"/>
      <c r="B181" s="50"/>
      <c r="C181" s="50" t="s">
        <v>11</v>
      </c>
      <c r="D181" s="58" t="s">
        <v>3</v>
      </c>
      <c r="E181" s="70">
        <f t="shared" ref="E181:I181" si="21">E168</f>
        <v>30000</v>
      </c>
      <c r="F181" s="70">
        <f t="shared" si="21"/>
        <v>25000</v>
      </c>
      <c r="G181" s="70">
        <f t="shared" si="21"/>
        <v>10000</v>
      </c>
      <c r="H181" s="70">
        <f t="shared" si="21"/>
        <v>20000</v>
      </c>
      <c r="I181" s="70">
        <f t="shared" si="21"/>
        <v>20000</v>
      </c>
      <c r="J181" s="70">
        <f t="shared" ref="J181:J185" si="22">SUM(E181:I181)</f>
        <v>105000</v>
      </c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</row>
    <row r="182" customHeight="1" spans="1:28">
      <c r="A182" s="50"/>
      <c r="B182" s="50"/>
      <c r="C182" s="50"/>
      <c r="D182" s="58" t="s">
        <v>37</v>
      </c>
      <c r="E182" s="70">
        <f t="shared" ref="E182:I182" si="23">E181/E142</f>
        <v>35294.1176470588</v>
      </c>
      <c r="F182" s="70">
        <f t="shared" si="23"/>
        <v>29411.7647058824</v>
      </c>
      <c r="G182" s="70">
        <f t="shared" si="23"/>
        <v>10000</v>
      </c>
      <c r="H182" s="70">
        <f t="shared" si="23"/>
        <v>24390.243902439</v>
      </c>
      <c r="I182" s="70">
        <f t="shared" si="23"/>
        <v>23529.4117647059</v>
      </c>
      <c r="J182" s="70">
        <f t="shared" si="22"/>
        <v>122625.538020086</v>
      </c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</row>
    <row r="183" customHeight="1" spans="1:28">
      <c r="A183" s="50"/>
      <c r="B183" s="50"/>
      <c r="C183" s="50"/>
      <c r="D183" s="58" t="s">
        <v>38</v>
      </c>
      <c r="E183" s="70">
        <f t="shared" ref="E183:I183" si="24">E182/E141</f>
        <v>54298.6425339367</v>
      </c>
      <c r="F183" s="70">
        <f t="shared" si="24"/>
        <v>49019.6078431373</v>
      </c>
      <c r="G183" s="70">
        <f t="shared" si="24"/>
        <v>10000</v>
      </c>
      <c r="H183" s="70">
        <f t="shared" si="24"/>
        <v>24390.243902439</v>
      </c>
      <c r="I183" s="70">
        <f t="shared" si="24"/>
        <v>58823.5294117647</v>
      </c>
      <c r="J183" s="70">
        <f t="shared" si="22"/>
        <v>196532.023691278</v>
      </c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</row>
    <row r="184" customHeight="1" spans="1:28">
      <c r="A184" s="50"/>
      <c r="B184" s="50"/>
      <c r="C184" s="50"/>
      <c r="D184" s="58" t="s">
        <v>39</v>
      </c>
      <c r="E184" s="70">
        <f t="shared" ref="E184:I184" si="25">E183/E140</f>
        <v>108597.285067873</v>
      </c>
      <c r="F184" s="70">
        <f t="shared" si="25"/>
        <v>98039.2156862745</v>
      </c>
      <c r="G184" s="70">
        <f t="shared" si="25"/>
        <v>17543.8596491228</v>
      </c>
      <c r="H184" s="70">
        <f t="shared" si="25"/>
        <v>25673.9409499358</v>
      </c>
      <c r="I184" s="70">
        <f t="shared" si="25"/>
        <v>113122.171945701</v>
      </c>
      <c r="J184" s="70">
        <f t="shared" si="22"/>
        <v>362976.473298908</v>
      </c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</row>
    <row r="185" customHeight="1" spans="1:28">
      <c r="A185" s="50"/>
      <c r="B185" s="50"/>
      <c r="C185" s="50"/>
      <c r="D185" s="58" t="s">
        <v>40</v>
      </c>
      <c r="E185" s="70">
        <f t="shared" ref="E185:I185" si="26">E184/E139</f>
        <v>217194.570135747</v>
      </c>
      <c r="F185" s="70">
        <f t="shared" si="26"/>
        <v>138083.402375035</v>
      </c>
      <c r="G185" s="70">
        <f t="shared" si="26"/>
        <v>18467.2206832872</v>
      </c>
      <c r="H185" s="70">
        <f t="shared" si="26"/>
        <v>25673.9409499358</v>
      </c>
      <c r="I185" s="70">
        <f t="shared" si="26"/>
        <v>159327.002740424</v>
      </c>
      <c r="J185" s="70">
        <f t="shared" si="22"/>
        <v>558746.136884429</v>
      </c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</row>
    <row r="186" customHeight="1" spans="1:28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</row>
    <row r="187" customHeight="1" spans="1:28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</row>
    <row r="188" customHeight="1" spans="1:2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</row>
    <row r="189" customHeight="1" spans="1:28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</row>
    <row r="190" customHeight="1" spans="1:28">
      <c r="A190" s="50"/>
      <c r="B190" s="50"/>
      <c r="C190" s="50" t="s">
        <v>12</v>
      </c>
      <c r="D190" s="68" t="s">
        <v>32</v>
      </c>
      <c r="E190" s="68" t="s">
        <v>21</v>
      </c>
      <c r="F190" s="68" t="s">
        <v>22</v>
      </c>
      <c r="G190" s="68" t="s">
        <v>23</v>
      </c>
      <c r="H190" s="68" t="s">
        <v>24</v>
      </c>
      <c r="I190" s="75" t="s">
        <v>25</v>
      </c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</row>
    <row r="191" customHeight="1" spans="1:28">
      <c r="A191" s="50"/>
      <c r="B191" s="50"/>
      <c r="C191" s="50"/>
      <c r="D191" s="58" t="s">
        <v>49</v>
      </c>
      <c r="E191" s="70">
        <v>30000</v>
      </c>
      <c r="F191" s="70">
        <v>25000</v>
      </c>
      <c r="G191" s="70">
        <v>15000</v>
      </c>
      <c r="H191" s="70">
        <v>25000</v>
      </c>
      <c r="I191" s="70">
        <v>30000</v>
      </c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</row>
    <row r="192" customHeight="1" spans="1:28">
      <c r="A192" s="50"/>
      <c r="B192" s="50"/>
      <c r="C192" s="50"/>
      <c r="D192" s="58" t="s">
        <v>35</v>
      </c>
      <c r="E192" s="70">
        <v>12000</v>
      </c>
      <c r="F192" s="70">
        <v>11000</v>
      </c>
      <c r="G192" s="70">
        <v>15000</v>
      </c>
      <c r="H192" s="70">
        <v>8400</v>
      </c>
      <c r="I192" s="70">
        <v>14000</v>
      </c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</row>
    <row r="193" customHeight="1" spans="1:28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</row>
    <row r="194" customHeight="1" spans="1:28">
      <c r="A194" s="50"/>
      <c r="B194" s="50"/>
      <c r="C194" s="50" t="s">
        <v>36</v>
      </c>
      <c r="D194" s="68" t="s">
        <v>0</v>
      </c>
      <c r="E194" s="68" t="s">
        <v>21</v>
      </c>
      <c r="F194" s="68" t="s">
        <v>22</v>
      </c>
      <c r="G194" s="68" t="s">
        <v>23</v>
      </c>
      <c r="H194" s="68" t="s">
        <v>24</v>
      </c>
      <c r="I194" s="75" t="s">
        <v>25</v>
      </c>
      <c r="J194" s="75" t="s">
        <v>33</v>
      </c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</row>
    <row r="195" customHeight="1" spans="1:28">
      <c r="A195" s="50"/>
      <c r="B195" s="50"/>
      <c r="C195" s="50" t="s">
        <v>12</v>
      </c>
      <c r="D195" s="58" t="s">
        <v>3</v>
      </c>
      <c r="E195" s="69">
        <f t="shared" ref="E195:I195" si="27">E191/E192</f>
        <v>2.5</v>
      </c>
      <c r="F195" s="69">
        <f t="shared" si="27"/>
        <v>2.27272727272727</v>
      </c>
      <c r="G195" s="69">
        <f t="shared" si="27"/>
        <v>1</v>
      </c>
      <c r="H195" s="69">
        <f t="shared" si="27"/>
        <v>2.97619047619048</v>
      </c>
      <c r="I195" s="69">
        <f t="shared" si="27"/>
        <v>2.14285714285714</v>
      </c>
      <c r="J195" s="86">
        <f t="shared" ref="J195:J200" si="28">SUM(E195:I195)</f>
        <v>10.8917748917749</v>
      </c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</row>
    <row r="196" customHeight="1" spans="1:28">
      <c r="A196" s="50"/>
      <c r="B196" s="50"/>
      <c r="C196" s="50"/>
      <c r="D196" s="58" t="s">
        <v>37</v>
      </c>
      <c r="E196" s="69">
        <f t="shared" ref="E196:I196" si="29">E205/E192</f>
        <v>2.94117647058824</v>
      </c>
      <c r="F196" s="69">
        <f t="shared" si="29"/>
        <v>2.67379679144385</v>
      </c>
      <c r="G196" s="69">
        <f t="shared" si="29"/>
        <v>1</v>
      </c>
      <c r="H196" s="69">
        <f t="shared" si="29"/>
        <v>3.62950058072009</v>
      </c>
      <c r="I196" s="69">
        <f t="shared" si="29"/>
        <v>2.52100840336134</v>
      </c>
      <c r="J196" s="86">
        <f t="shared" si="28"/>
        <v>12.7654822461135</v>
      </c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</row>
    <row r="197" customHeight="1" spans="1:28">
      <c r="A197" s="50"/>
      <c r="B197" s="50"/>
      <c r="C197" s="50"/>
      <c r="D197" s="58" t="s">
        <v>38</v>
      </c>
      <c r="E197" s="69">
        <f t="shared" ref="E197:I197" si="30">E206/E192</f>
        <v>4.52488687782805</v>
      </c>
      <c r="F197" s="69">
        <f t="shared" si="30"/>
        <v>4.45632798573975</v>
      </c>
      <c r="G197" s="69">
        <f t="shared" si="30"/>
        <v>1</v>
      </c>
      <c r="H197" s="69">
        <f t="shared" si="30"/>
        <v>3.62950058072009</v>
      </c>
      <c r="I197" s="69">
        <f t="shared" si="30"/>
        <v>6.30252100840336</v>
      </c>
      <c r="J197" s="86">
        <f t="shared" si="28"/>
        <v>19.9132364526913</v>
      </c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</row>
    <row r="198" customHeight="1" spans="1:28">
      <c r="A198" s="50"/>
      <c r="B198" s="50"/>
      <c r="C198" s="50"/>
      <c r="D198" s="58" t="s">
        <v>39</v>
      </c>
      <c r="E198" s="69">
        <f t="shared" ref="E198:I198" si="31">E207/E192</f>
        <v>9.04977375565611</v>
      </c>
      <c r="F198" s="69">
        <f t="shared" si="31"/>
        <v>8.9126559714795</v>
      </c>
      <c r="G198" s="69">
        <f t="shared" si="31"/>
        <v>1.75438596491228</v>
      </c>
      <c r="H198" s="69">
        <f t="shared" si="31"/>
        <v>3.82052692707378</v>
      </c>
      <c r="I198" s="69">
        <f t="shared" si="31"/>
        <v>12.120232708468</v>
      </c>
      <c r="J198" s="86">
        <f t="shared" si="28"/>
        <v>35.6575753275897</v>
      </c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</row>
    <row r="199" customHeight="1" spans="1:28">
      <c r="A199" s="50"/>
      <c r="B199" s="50"/>
      <c r="C199" s="50"/>
      <c r="D199" s="58" t="s">
        <v>40</v>
      </c>
      <c r="E199" s="69">
        <f t="shared" ref="E199:I199" si="32">E208/E192</f>
        <v>18.0995475113122</v>
      </c>
      <c r="F199" s="69">
        <f t="shared" si="32"/>
        <v>12.5530365795486</v>
      </c>
      <c r="G199" s="69">
        <f t="shared" si="32"/>
        <v>1.84672206832872</v>
      </c>
      <c r="H199" s="69">
        <f t="shared" si="32"/>
        <v>3.82052692707378</v>
      </c>
      <c r="I199" s="69">
        <f t="shared" si="32"/>
        <v>17.0707502936169</v>
      </c>
      <c r="J199" s="86">
        <f t="shared" si="28"/>
        <v>53.3905833798802</v>
      </c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</row>
    <row r="200" customHeight="1" spans="1:28">
      <c r="A200" s="50"/>
      <c r="B200" s="50"/>
      <c r="C200" s="50"/>
      <c r="D200" s="58" t="s">
        <v>41</v>
      </c>
      <c r="E200" s="69">
        <f t="shared" ref="E200:I200" si="33">E199/E138</f>
        <v>36.1990950226244</v>
      </c>
      <c r="F200" s="69">
        <f t="shared" si="33"/>
        <v>25.1060731590972</v>
      </c>
      <c r="G200" s="69">
        <f t="shared" si="33"/>
        <v>3.55138859293984</v>
      </c>
      <c r="H200" s="69">
        <f t="shared" si="33"/>
        <v>4.24502991897087</v>
      </c>
      <c r="I200" s="69">
        <f t="shared" si="33"/>
        <v>32.2089628181451</v>
      </c>
      <c r="J200" s="86">
        <f t="shared" si="28"/>
        <v>101.310549511777</v>
      </c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</row>
    <row r="201" customHeight="1" spans="1:28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</row>
    <row r="202" customHeight="1" spans="1:28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</row>
    <row r="203" customHeight="1" spans="1:28">
      <c r="A203" s="50"/>
      <c r="B203" s="50"/>
      <c r="C203" s="50" t="s">
        <v>12</v>
      </c>
      <c r="D203" s="68" t="s">
        <v>0</v>
      </c>
      <c r="E203" s="68" t="s">
        <v>21</v>
      </c>
      <c r="F203" s="68" t="s">
        <v>22</v>
      </c>
      <c r="G203" s="68" t="s">
        <v>23</v>
      </c>
      <c r="H203" s="68" t="s">
        <v>24</v>
      </c>
      <c r="I203" s="75" t="s">
        <v>25</v>
      </c>
      <c r="J203" s="75" t="s">
        <v>33</v>
      </c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</row>
    <row r="204" customHeight="1" spans="1:28">
      <c r="A204" s="50"/>
      <c r="B204" s="50"/>
      <c r="C204" s="50"/>
      <c r="D204" s="58" t="s">
        <v>3</v>
      </c>
      <c r="E204" s="70">
        <f t="shared" ref="E204:I204" si="34">E191</f>
        <v>30000</v>
      </c>
      <c r="F204" s="70">
        <f t="shared" si="34"/>
        <v>25000</v>
      </c>
      <c r="G204" s="70">
        <f t="shared" si="34"/>
        <v>15000</v>
      </c>
      <c r="H204" s="70">
        <f t="shared" si="34"/>
        <v>25000</v>
      </c>
      <c r="I204" s="70">
        <f t="shared" si="34"/>
        <v>30000</v>
      </c>
      <c r="J204" s="70">
        <f t="shared" ref="J204:J208" si="35">SUM(E204:I204)</f>
        <v>125000</v>
      </c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</row>
    <row r="205" customHeight="1" spans="1:28">
      <c r="A205" s="50"/>
      <c r="B205" s="50"/>
      <c r="C205" s="50"/>
      <c r="D205" s="58" t="s">
        <v>37</v>
      </c>
      <c r="E205" s="70">
        <f t="shared" ref="E205:I205" si="36">E204/E142</f>
        <v>35294.1176470588</v>
      </c>
      <c r="F205" s="70">
        <f t="shared" si="36"/>
        <v>29411.7647058824</v>
      </c>
      <c r="G205" s="70">
        <f t="shared" si="36"/>
        <v>15000</v>
      </c>
      <c r="H205" s="70">
        <f t="shared" si="36"/>
        <v>30487.8048780488</v>
      </c>
      <c r="I205" s="70">
        <f t="shared" si="36"/>
        <v>35294.1176470588</v>
      </c>
      <c r="J205" s="70">
        <f t="shared" si="35"/>
        <v>145487.804878049</v>
      </c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</row>
    <row r="206" customHeight="1" spans="1:28">
      <c r="A206" s="50"/>
      <c r="B206" s="50"/>
      <c r="C206" s="50"/>
      <c r="D206" s="58" t="s">
        <v>38</v>
      </c>
      <c r="E206" s="70">
        <f t="shared" ref="E206:I206" si="37">E205/E141</f>
        <v>54298.6425339367</v>
      </c>
      <c r="F206" s="70">
        <f t="shared" si="37"/>
        <v>49019.6078431373</v>
      </c>
      <c r="G206" s="70">
        <f t="shared" si="37"/>
        <v>15000</v>
      </c>
      <c r="H206" s="70">
        <f t="shared" si="37"/>
        <v>30487.8048780488</v>
      </c>
      <c r="I206" s="70">
        <f t="shared" si="37"/>
        <v>88235.2941176471</v>
      </c>
      <c r="J206" s="70">
        <f t="shared" si="35"/>
        <v>237041.34937277</v>
      </c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</row>
    <row r="207" customHeight="1" spans="1:28">
      <c r="A207" s="50"/>
      <c r="B207" s="50"/>
      <c r="C207" s="50"/>
      <c r="D207" s="58" t="s">
        <v>39</v>
      </c>
      <c r="E207" s="70">
        <f t="shared" ref="E207:I207" si="38">E206/E140</f>
        <v>108597.285067873</v>
      </c>
      <c r="F207" s="70">
        <f t="shared" si="38"/>
        <v>98039.2156862745</v>
      </c>
      <c r="G207" s="70">
        <f t="shared" si="38"/>
        <v>26315.7894736842</v>
      </c>
      <c r="H207" s="70">
        <f t="shared" si="38"/>
        <v>32092.4261874198</v>
      </c>
      <c r="I207" s="70">
        <f t="shared" si="38"/>
        <v>169683.257918552</v>
      </c>
      <c r="J207" s="70">
        <f t="shared" si="35"/>
        <v>434727.974333804</v>
      </c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</row>
    <row r="208" customHeight="1" spans="1:28">
      <c r="A208" s="50"/>
      <c r="B208" s="50"/>
      <c r="C208" s="50"/>
      <c r="D208" s="58" t="s">
        <v>40</v>
      </c>
      <c r="E208" s="70">
        <f t="shared" ref="E208:I208" si="39">E207/E139</f>
        <v>217194.570135747</v>
      </c>
      <c r="F208" s="70">
        <f t="shared" si="39"/>
        <v>138083.402375035</v>
      </c>
      <c r="G208" s="70">
        <f t="shared" si="39"/>
        <v>27700.8310249308</v>
      </c>
      <c r="H208" s="70">
        <f t="shared" si="39"/>
        <v>32092.4261874198</v>
      </c>
      <c r="I208" s="70">
        <f t="shared" si="39"/>
        <v>238990.504110637</v>
      </c>
      <c r="J208" s="70">
        <f t="shared" si="35"/>
        <v>654061.733833768</v>
      </c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</row>
    <row r="209" customHeight="1" spans="1:28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</row>
    <row r="210" customHeight="1" spans="1:28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</row>
    <row r="211" customHeight="1" spans="1:28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</row>
    <row r="212" customHeight="1" spans="1:28">
      <c r="A212" s="50"/>
      <c r="B212" s="50"/>
      <c r="C212" s="50" t="s">
        <v>13</v>
      </c>
      <c r="D212" s="68" t="s">
        <v>32</v>
      </c>
      <c r="E212" s="68" t="s">
        <v>21</v>
      </c>
      <c r="F212" s="68" t="s">
        <v>22</v>
      </c>
      <c r="G212" s="68" t="s">
        <v>23</v>
      </c>
      <c r="H212" s="68" t="s">
        <v>24</v>
      </c>
      <c r="I212" s="75" t="s">
        <v>25</v>
      </c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</row>
    <row r="213" customHeight="1" spans="1:28">
      <c r="A213" s="50"/>
      <c r="B213" s="50"/>
      <c r="C213" s="50"/>
      <c r="D213" s="58" t="s">
        <v>50</v>
      </c>
      <c r="E213" s="70">
        <v>30000</v>
      </c>
      <c r="F213" s="70">
        <v>25000</v>
      </c>
      <c r="G213" s="70">
        <v>15000</v>
      </c>
      <c r="H213" s="70">
        <v>25000</v>
      </c>
      <c r="I213" s="70">
        <v>30000</v>
      </c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</row>
    <row r="214" customHeight="1" spans="1:28">
      <c r="A214" s="50"/>
      <c r="B214" s="50"/>
      <c r="C214" s="50"/>
      <c r="D214" s="58" t="s">
        <v>35</v>
      </c>
      <c r="E214" s="70">
        <v>12000</v>
      </c>
      <c r="F214" s="70">
        <v>11000</v>
      </c>
      <c r="G214" s="70">
        <v>15000</v>
      </c>
      <c r="H214" s="70">
        <v>8400</v>
      </c>
      <c r="I214" s="70">
        <v>14000</v>
      </c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</row>
    <row r="215" customHeight="1" spans="1:28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</row>
    <row r="216" customHeight="1" spans="1:28">
      <c r="A216" s="50"/>
      <c r="B216" s="50"/>
      <c r="C216" s="50" t="s">
        <v>36</v>
      </c>
      <c r="D216" s="68" t="s">
        <v>0</v>
      </c>
      <c r="E216" s="68" t="s">
        <v>21</v>
      </c>
      <c r="F216" s="68" t="s">
        <v>22</v>
      </c>
      <c r="G216" s="68" t="s">
        <v>23</v>
      </c>
      <c r="H216" s="68" t="s">
        <v>24</v>
      </c>
      <c r="I216" s="75" t="s">
        <v>25</v>
      </c>
      <c r="J216" s="75" t="s">
        <v>33</v>
      </c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</row>
    <row r="217" customHeight="1" spans="1:28">
      <c r="A217" s="50"/>
      <c r="B217" s="50"/>
      <c r="C217" s="50" t="s">
        <v>13</v>
      </c>
      <c r="D217" s="58" t="s">
        <v>3</v>
      </c>
      <c r="E217" s="69">
        <f t="shared" ref="E217:I217" si="40">E213/E214</f>
        <v>2.5</v>
      </c>
      <c r="F217" s="69">
        <f t="shared" si="40"/>
        <v>2.27272727272727</v>
      </c>
      <c r="G217" s="69">
        <f t="shared" si="40"/>
        <v>1</v>
      </c>
      <c r="H217" s="69">
        <f t="shared" si="40"/>
        <v>2.97619047619048</v>
      </c>
      <c r="I217" s="69">
        <f t="shared" si="40"/>
        <v>2.14285714285714</v>
      </c>
      <c r="J217" s="86">
        <f t="shared" ref="J217:J222" si="41">SUM(E217:I217)</f>
        <v>10.8917748917749</v>
      </c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</row>
    <row r="218" customHeight="1" spans="1:28">
      <c r="A218" s="50"/>
      <c r="B218" s="50"/>
      <c r="C218" s="50"/>
      <c r="D218" s="58" t="s">
        <v>37</v>
      </c>
      <c r="E218" s="69">
        <f t="shared" ref="E218:I218" si="42">E227/E214</f>
        <v>2.94117647058824</v>
      </c>
      <c r="F218" s="69">
        <f t="shared" si="42"/>
        <v>2.67379679144385</v>
      </c>
      <c r="G218" s="69">
        <f t="shared" si="42"/>
        <v>1</v>
      </c>
      <c r="H218" s="69">
        <f t="shared" si="42"/>
        <v>3.62950058072009</v>
      </c>
      <c r="I218" s="69">
        <f t="shared" si="42"/>
        <v>2.52100840336134</v>
      </c>
      <c r="J218" s="86">
        <f t="shared" si="41"/>
        <v>12.7654822461135</v>
      </c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</row>
    <row r="219" customHeight="1" spans="1:28">
      <c r="A219" s="50"/>
      <c r="B219" s="50"/>
      <c r="C219" s="50"/>
      <c r="D219" s="58" t="s">
        <v>38</v>
      </c>
      <c r="E219" s="69">
        <f t="shared" ref="E219:I219" si="43">E228/E214</f>
        <v>4.52488687782805</v>
      </c>
      <c r="F219" s="69">
        <f t="shared" si="43"/>
        <v>4.45632798573975</v>
      </c>
      <c r="G219" s="69">
        <f t="shared" si="43"/>
        <v>1</v>
      </c>
      <c r="H219" s="69">
        <f t="shared" si="43"/>
        <v>3.62950058072009</v>
      </c>
      <c r="I219" s="69">
        <f t="shared" si="43"/>
        <v>6.30252100840336</v>
      </c>
      <c r="J219" s="86">
        <f t="shared" si="41"/>
        <v>19.9132364526913</v>
      </c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</row>
    <row r="220" customHeight="1" spans="1:28">
      <c r="A220" s="50"/>
      <c r="B220" s="50"/>
      <c r="C220" s="50"/>
      <c r="D220" s="58" t="s">
        <v>39</v>
      </c>
      <c r="E220" s="69">
        <f t="shared" ref="E220:I220" si="44">E229/E214</f>
        <v>9.04977375565611</v>
      </c>
      <c r="F220" s="69">
        <f t="shared" si="44"/>
        <v>8.9126559714795</v>
      </c>
      <c r="G220" s="69">
        <f t="shared" si="44"/>
        <v>1.75438596491228</v>
      </c>
      <c r="H220" s="69">
        <f t="shared" si="44"/>
        <v>3.82052692707378</v>
      </c>
      <c r="I220" s="69">
        <f t="shared" si="44"/>
        <v>12.120232708468</v>
      </c>
      <c r="J220" s="86">
        <f t="shared" si="41"/>
        <v>35.6575753275897</v>
      </c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</row>
    <row r="221" customHeight="1" spans="1:28">
      <c r="A221" s="50"/>
      <c r="B221" s="50"/>
      <c r="C221" s="50"/>
      <c r="D221" s="58" t="s">
        <v>40</v>
      </c>
      <c r="E221" s="69">
        <f t="shared" ref="E221:I221" si="45">E230/E214</f>
        <v>18.0995475113122</v>
      </c>
      <c r="F221" s="69">
        <f t="shared" si="45"/>
        <v>12.5530365795486</v>
      </c>
      <c r="G221" s="69">
        <f t="shared" si="45"/>
        <v>1.84672206832872</v>
      </c>
      <c r="H221" s="69">
        <f t="shared" si="45"/>
        <v>3.82052692707378</v>
      </c>
      <c r="I221" s="69">
        <f t="shared" si="45"/>
        <v>17.0707502936169</v>
      </c>
      <c r="J221" s="86">
        <f t="shared" si="41"/>
        <v>53.3905833798802</v>
      </c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</row>
    <row r="222" customHeight="1" spans="1:28">
      <c r="A222" s="50"/>
      <c r="B222" s="50"/>
      <c r="C222" s="50"/>
      <c r="D222" s="58" t="s">
        <v>41</v>
      </c>
      <c r="E222" s="69">
        <f t="shared" ref="E222:I222" si="46">E221/E138</f>
        <v>36.1990950226244</v>
      </c>
      <c r="F222" s="69">
        <f t="shared" si="46"/>
        <v>25.1060731590972</v>
      </c>
      <c r="G222" s="69">
        <f t="shared" si="46"/>
        <v>3.55138859293984</v>
      </c>
      <c r="H222" s="69">
        <f t="shared" si="46"/>
        <v>4.24502991897087</v>
      </c>
      <c r="I222" s="69">
        <f t="shared" si="46"/>
        <v>32.2089628181451</v>
      </c>
      <c r="J222" s="86">
        <f t="shared" si="41"/>
        <v>101.310549511777</v>
      </c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</row>
    <row r="223" customHeight="1" spans="1:28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</row>
    <row r="224" customHeight="1" spans="1:28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</row>
    <row r="225" customHeight="1" spans="1:28">
      <c r="A225" s="50"/>
      <c r="B225" s="50"/>
      <c r="C225" s="50" t="s">
        <v>42</v>
      </c>
      <c r="D225" s="68" t="s">
        <v>0</v>
      </c>
      <c r="E225" s="68" t="s">
        <v>21</v>
      </c>
      <c r="F225" s="68" t="s">
        <v>22</v>
      </c>
      <c r="G225" s="68" t="s">
        <v>23</v>
      </c>
      <c r="H225" s="68" t="s">
        <v>24</v>
      </c>
      <c r="I225" s="75" t="s">
        <v>25</v>
      </c>
      <c r="J225" s="75" t="s">
        <v>33</v>
      </c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</row>
    <row r="226" customHeight="1" spans="1:28">
      <c r="A226" s="50"/>
      <c r="B226" s="50"/>
      <c r="C226" s="50" t="s">
        <v>13</v>
      </c>
      <c r="D226" s="58" t="s">
        <v>3</v>
      </c>
      <c r="E226" s="70">
        <f t="shared" ref="E226:I226" si="47">E213</f>
        <v>30000</v>
      </c>
      <c r="F226" s="70">
        <f t="shared" si="47"/>
        <v>25000</v>
      </c>
      <c r="G226" s="70">
        <f t="shared" si="47"/>
        <v>15000</v>
      </c>
      <c r="H226" s="70">
        <f t="shared" si="47"/>
        <v>25000</v>
      </c>
      <c r="I226" s="70">
        <f t="shared" si="47"/>
        <v>30000</v>
      </c>
      <c r="J226" s="70">
        <f t="shared" ref="J226:J230" si="48">SUM(E226:I226)</f>
        <v>125000</v>
      </c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</row>
    <row r="227" customHeight="1" spans="1:28">
      <c r="A227" s="50"/>
      <c r="B227" s="50"/>
      <c r="C227" s="50"/>
      <c r="D227" s="58" t="s">
        <v>37</v>
      </c>
      <c r="E227" s="70">
        <f t="shared" ref="E227:I227" si="49">E226/E142</f>
        <v>35294.1176470588</v>
      </c>
      <c r="F227" s="70">
        <f t="shared" si="49"/>
        <v>29411.7647058824</v>
      </c>
      <c r="G227" s="70">
        <f t="shared" si="49"/>
        <v>15000</v>
      </c>
      <c r="H227" s="70">
        <f t="shared" si="49"/>
        <v>30487.8048780488</v>
      </c>
      <c r="I227" s="70">
        <f t="shared" si="49"/>
        <v>35294.1176470588</v>
      </c>
      <c r="J227" s="70">
        <f t="shared" si="48"/>
        <v>145487.804878049</v>
      </c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</row>
    <row r="228" customHeight="1" spans="1:28">
      <c r="A228" s="50"/>
      <c r="B228" s="50"/>
      <c r="C228" s="50"/>
      <c r="D228" s="58" t="s">
        <v>38</v>
      </c>
      <c r="E228" s="70">
        <f t="shared" ref="E228:I228" si="50">E227/E141</f>
        <v>54298.6425339367</v>
      </c>
      <c r="F228" s="70">
        <f t="shared" si="50"/>
        <v>49019.6078431373</v>
      </c>
      <c r="G228" s="70">
        <f t="shared" si="50"/>
        <v>15000</v>
      </c>
      <c r="H228" s="70">
        <f t="shared" si="50"/>
        <v>30487.8048780488</v>
      </c>
      <c r="I228" s="70">
        <f t="shared" si="50"/>
        <v>88235.2941176471</v>
      </c>
      <c r="J228" s="70">
        <f t="shared" si="48"/>
        <v>237041.34937277</v>
      </c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</row>
    <row r="229" customHeight="1" spans="1:28">
      <c r="A229" s="50"/>
      <c r="B229" s="50"/>
      <c r="C229" s="50"/>
      <c r="D229" s="58" t="s">
        <v>39</v>
      </c>
      <c r="E229" s="70">
        <f t="shared" ref="E229:I229" si="51">E228/E140</f>
        <v>108597.285067873</v>
      </c>
      <c r="F229" s="70">
        <f t="shared" si="51"/>
        <v>98039.2156862745</v>
      </c>
      <c r="G229" s="70">
        <f t="shared" si="51"/>
        <v>26315.7894736842</v>
      </c>
      <c r="H229" s="70">
        <f t="shared" si="51"/>
        <v>32092.4261874198</v>
      </c>
      <c r="I229" s="70">
        <f t="shared" si="51"/>
        <v>169683.257918552</v>
      </c>
      <c r="J229" s="70">
        <f t="shared" si="48"/>
        <v>434727.974333804</v>
      </c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</row>
    <row r="230" customHeight="1" spans="1:28">
      <c r="A230" s="50"/>
      <c r="B230" s="50"/>
      <c r="C230" s="50"/>
      <c r="D230" s="58" t="s">
        <v>40</v>
      </c>
      <c r="E230" s="70">
        <f t="shared" ref="E230:I230" si="52">E229/E139</f>
        <v>217194.570135747</v>
      </c>
      <c r="F230" s="70">
        <f t="shared" si="52"/>
        <v>138083.402375035</v>
      </c>
      <c r="G230" s="70">
        <f t="shared" si="52"/>
        <v>27700.8310249308</v>
      </c>
      <c r="H230" s="70">
        <f t="shared" si="52"/>
        <v>32092.4261874198</v>
      </c>
      <c r="I230" s="70">
        <f t="shared" si="52"/>
        <v>238990.504110637</v>
      </c>
      <c r="J230" s="70">
        <f t="shared" si="48"/>
        <v>654061.733833768</v>
      </c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</row>
    <row r="231" customHeight="1" spans="1:28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</row>
    <row r="232" customHeight="1" spans="1:28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</row>
    <row r="233" customHeight="1" spans="1:28">
      <c r="A233" s="50"/>
      <c r="B233" s="50"/>
      <c r="C233" s="50"/>
      <c r="D233" s="67" t="s">
        <v>57</v>
      </c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</row>
    <row r="234" customHeight="1" spans="1:28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</row>
    <row r="235" customHeight="1" spans="1:28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</row>
    <row r="236" customHeight="1" spans="1:28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</row>
    <row r="237" customHeight="1" spans="1:28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</row>
    <row r="238" customHeight="1" spans="1:28">
      <c r="A238" s="50"/>
      <c r="B238" s="50"/>
      <c r="C238" s="50" t="s">
        <v>59</v>
      </c>
      <c r="D238" s="68" t="s">
        <v>57</v>
      </c>
      <c r="E238" s="68" t="s">
        <v>61</v>
      </c>
      <c r="F238" s="68" t="s">
        <v>22</v>
      </c>
      <c r="G238" s="68" t="s">
        <v>23</v>
      </c>
      <c r="H238" s="68" t="s">
        <v>24</v>
      </c>
      <c r="I238" s="75" t="s">
        <v>25</v>
      </c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</row>
    <row r="239" customHeight="1" spans="1:28">
      <c r="A239" s="50"/>
      <c r="B239" s="50"/>
      <c r="C239" s="50"/>
      <c r="D239" s="68" t="s">
        <v>26</v>
      </c>
      <c r="E239" s="88">
        <v>0.5</v>
      </c>
      <c r="F239" s="88">
        <v>0.66</v>
      </c>
      <c r="G239" s="88">
        <v>0.78</v>
      </c>
      <c r="H239" s="88">
        <v>1</v>
      </c>
      <c r="I239" s="88">
        <v>0.38</v>
      </c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</row>
    <row r="240" customHeight="1" spans="1:28">
      <c r="A240" s="50"/>
      <c r="B240" s="50"/>
      <c r="C240" s="50"/>
      <c r="D240" s="68" t="s">
        <v>27</v>
      </c>
      <c r="E240" s="88">
        <v>1</v>
      </c>
      <c r="F240" s="88">
        <v>0.63</v>
      </c>
      <c r="G240" s="88">
        <v>0.82</v>
      </c>
      <c r="H240" s="88">
        <v>1</v>
      </c>
      <c r="I240" s="88">
        <v>0.9</v>
      </c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</row>
    <row r="241" customHeight="1" spans="1:28">
      <c r="A241" s="50"/>
      <c r="B241" s="50"/>
      <c r="C241" s="50"/>
      <c r="D241" s="68" t="s">
        <v>60</v>
      </c>
      <c r="E241" s="88">
        <v>0.45</v>
      </c>
      <c r="F241" s="88">
        <v>0.55</v>
      </c>
      <c r="G241" s="88">
        <v>0.41</v>
      </c>
      <c r="H241" s="88">
        <v>0.9</v>
      </c>
      <c r="I241" s="88">
        <v>0.35</v>
      </c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</row>
    <row r="242" customHeight="1" spans="1:28">
      <c r="A242" s="50"/>
      <c r="B242" s="50"/>
      <c r="C242" s="50"/>
      <c r="D242" s="68" t="s">
        <v>29</v>
      </c>
      <c r="E242" s="88">
        <v>0.75</v>
      </c>
      <c r="F242" s="88">
        <v>0.75</v>
      </c>
      <c r="G242" s="88">
        <v>0.54</v>
      </c>
      <c r="H242" s="88">
        <v>1</v>
      </c>
      <c r="I242" s="88">
        <v>0.4</v>
      </c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</row>
    <row r="243" customHeight="1" spans="1:28">
      <c r="A243" s="50"/>
      <c r="B243" s="50"/>
      <c r="C243" s="50"/>
      <c r="D243" s="68" t="s">
        <v>30</v>
      </c>
      <c r="E243" s="88">
        <v>0.98</v>
      </c>
      <c r="F243" s="88">
        <v>1</v>
      </c>
      <c r="G243" s="88">
        <v>0.86</v>
      </c>
      <c r="H243" s="88">
        <v>1</v>
      </c>
      <c r="I243" s="88">
        <v>0.95</v>
      </c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</row>
    <row r="244" customHeight="1" spans="1:28">
      <c r="A244" s="50"/>
      <c r="B244" s="50"/>
      <c r="C244" s="50"/>
      <c r="D244" s="68" t="s">
        <v>31</v>
      </c>
      <c r="E244" s="89">
        <f t="shared" ref="E244:I244" si="53">E239*E240*E241*E242*E243</f>
        <v>0.165375</v>
      </c>
      <c r="F244" s="89">
        <f t="shared" si="53"/>
        <v>0.1715175</v>
      </c>
      <c r="G244" s="89">
        <f t="shared" si="53"/>
        <v>0.1217823984</v>
      </c>
      <c r="H244" s="89">
        <f t="shared" si="53"/>
        <v>0.9</v>
      </c>
      <c r="I244" s="89">
        <f t="shared" si="53"/>
        <v>0.045486</v>
      </c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</row>
    <row r="245" customHeight="1" spans="1:28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</row>
    <row r="246" customHeight="1" spans="1:28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</row>
    <row r="247" customHeight="1" spans="1:28">
      <c r="A247" s="50"/>
      <c r="B247" s="50"/>
      <c r="C247" s="50"/>
      <c r="D247" s="68" t="s">
        <v>32</v>
      </c>
      <c r="E247" s="68" t="s">
        <v>21</v>
      </c>
      <c r="F247" s="68" t="s">
        <v>22</v>
      </c>
      <c r="G247" s="68" t="s">
        <v>23</v>
      </c>
      <c r="H247" s="68" t="s">
        <v>24</v>
      </c>
      <c r="I247" s="75" t="s">
        <v>25</v>
      </c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</row>
    <row r="248" customHeight="1" spans="1:28">
      <c r="A248" s="50"/>
      <c r="B248" s="50"/>
      <c r="C248" s="50" t="s">
        <v>10</v>
      </c>
      <c r="D248" s="58" t="s">
        <v>47</v>
      </c>
      <c r="E248" s="70">
        <v>10000</v>
      </c>
      <c r="F248" s="70">
        <v>10000</v>
      </c>
      <c r="G248" s="70">
        <v>25000</v>
      </c>
      <c r="H248" s="70">
        <v>15000</v>
      </c>
      <c r="I248" s="70">
        <v>20000</v>
      </c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</row>
    <row r="249" customHeight="1" spans="1:28">
      <c r="A249" s="50"/>
      <c r="B249" s="50"/>
      <c r="C249" s="50"/>
      <c r="D249" s="58" t="s">
        <v>35</v>
      </c>
      <c r="E249" s="70">
        <v>11000</v>
      </c>
      <c r="F249" s="70">
        <v>10000</v>
      </c>
      <c r="G249" s="70">
        <v>17000</v>
      </c>
      <c r="H249" s="70">
        <v>5000</v>
      </c>
      <c r="I249" s="70">
        <v>14000</v>
      </c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</row>
    <row r="250" customHeight="1" spans="1:28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</row>
    <row r="251" customHeight="1" spans="1:28">
      <c r="A251" s="50"/>
      <c r="B251" s="50"/>
      <c r="C251" s="50"/>
      <c r="D251" s="68" t="s">
        <v>0</v>
      </c>
      <c r="E251" s="68" t="s">
        <v>21</v>
      </c>
      <c r="F251" s="68" t="s">
        <v>22</v>
      </c>
      <c r="G251" s="68" t="s">
        <v>23</v>
      </c>
      <c r="H251" s="68" t="s">
        <v>24</v>
      </c>
      <c r="I251" s="75" t="s">
        <v>25</v>
      </c>
      <c r="J251" s="75" t="s">
        <v>33</v>
      </c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</row>
    <row r="252" customHeight="1" spans="1:28">
      <c r="A252" s="50"/>
      <c r="B252" s="50"/>
      <c r="C252" s="50" t="s">
        <v>36</v>
      </c>
      <c r="D252" s="58" t="s">
        <v>3</v>
      </c>
      <c r="E252" s="69">
        <f t="shared" ref="E252:I252" si="54">E248/E249</f>
        <v>0.909090909090909</v>
      </c>
      <c r="F252" s="69">
        <f t="shared" si="54"/>
        <v>1</v>
      </c>
      <c r="G252" s="69">
        <f t="shared" si="54"/>
        <v>1.47058823529412</v>
      </c>
      <c r="H252" s="69">
        <f t="shared" si="54"/>
        <v>3</v>
      </c>
      <c r="I252" s="69">
        <f t="shared" si="54"/>
        <v>1.42857142857143</v>
      </c>
      <c r="J252" s="86">
        <f t="shared" ref="J252:J257" si="55">SUM(E252:I252)</f>
        <v>7.80825057295646</v>
      </c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</row>
    <row r="253" customHeight="1" spans="1:28">
      <c r="A253" s="50"/>
      <c r="B253" s="50"/>
      <c r="C253" s="50" t="s">
        <v>10</v>
      </c>
      <c r="D253" s="58" t="s">
        <v>37</v>
      </c>
      <c r="E253" s="69">
        <f t="shared" ref="E253:I253" si="56">E262/E249</f>
        <v>0.927643784786642</v>
      </c>
      <c r="F253" s="69">
        <f t="shared" si="56"/>
        <v>1</v>
      </c>
      <c r="G253" s="69">
        <f t="shared" si="56"/>
        <v>1.70998632010944</v>
      </c>
      <c r="H253" s="69">
        <f t="shared" si="56"/>
        <v>3</v>
      </c>
      <c r="I253" s="69">
        <f t="shared" si="56"/>
        <v>1.50375939849624</v>
      </c>
      <c r="J253" s="86">
        <f t="shared" si="55"/>
        <v>8.14138950339232</v>
      </c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</row>
    <row r="254" customHeight="1" spans="1:28">
      <c r="A254" s="50"/>
      <c r="B254" s="50"/>
      <c r="C254" s="50"/>
      <c r="D254" s="58" t="s">
        <v>38</v>
      </c>
      <c r="E254" s="69">
        <f t="shared" ref="E254:I254" si="57">E263/E249</f>
        <v>1.23685837971552</v>
      </c>
      <c r="F254" s="69">
        <f t="shared" si="57"/>
        <v>1.33333333333333</v>
      </c>
      <c r="G254" s="69">
        <f t="shared" si="57"/>
        <v>3.166641333536</v>
      </c>
      <c r="H254" s="69">
        <f t="shared" si="57"/>
        <v>3</v>
      </c>
      <c r="I254" s="69">
        <f t="shared" si="57"/>
        <v>3.7593984962406</v>
      </c>
      <c r="J254" s="86">
        <f t="shared" si="55"/>
        <v>12.4962315428255</v>
      </c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</row>
    <row r="255" customHeight="1" spans="1:28">
      <c r="A255" s="50"/>
      <c r="B255" s="50"/>
      <c r="C255" s="50"/>
      <c r="D255" s="58" t="s">
        <v>39</v>
      </c>
      <c r="E255" s="69">
        <f t="shared" ref="E255:I255" si="58">E264/E249</f>
        <v>2.74857417714561</v>
      </c>
      <c r="F255" s="69">
        <f t="shared" si="58"/>
        <v>2.42424242424242</v>
      </c>
      <c r="G255" s="69">
        <f t="shared" si="58"/>
        <v>7.72351544764878</v>
      </c>
      <c r="H255" s="69">
        <f t="shared" si="58"/>
        <v>3.33333333333333</v>
      </c>
      <c r="I255" s="69">
        <f t="shared" si="58"/>
        <v>10.7411385606874</v>
      </c>
      <c r="J255" s="86">
        <f t="shared" si="55"/>
        <v>26.9708039430576</v>
      </c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</row>
    <row r="256" customHeight="1" spans="1:28">
      <c r="A256" s="50"/>
      <c r="B256" s="50"/>
      <c r="C256" s="50"/>
      <c r="D256" s="58" t="s">
        <v>40</v>
      </c>
      <c r="E256" s="69">
        <f t="shared" ref="E256:I256" si="59">E265/E249</f>
        <v>2.74857417714561</v>
      </c>
      <c r="F256" s="69">
        <f t="shared" si="59"/>
        <v>3.84800384800385</v>
      </c>
      <c r="G256" s="69">
        <f t="shared" si="59"/>
        <v>9.41892127762046</v>
      </c>
      <c r="H256" s="69">
        <f t="shared" si="59"/>
        <v>3.33333333333333</v>
      </c>
      <c r="I256" s="69">
        <f t="shared" si="59"/>
        <v>11.9345984007638</v>
      </c>
      <c r="J256" s="86">
        <f t="shared" si="55"/>
        <v>31.2834310368671</v>
      </c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</row>
    <row r="257" customHeight="1" spans="1:28">
      <c r="A257" s="50"/>
      <c r="B257" s="50"/>
      <c r="C257" s="50"/>
      <c r="D257" s="58" t="s">
        <v>41</v>
      </c>
      <c r="E257" s="69">
        <f t="shared" ref="E257:I257" si="60">E256/E239</f>
        <v>5.49714835429121</v>
      </c>
      <c r="F257" s="69">
        <f t="shared" si="60"/>
        <v>5.83030886061189</v>
      </c>
      <c r="G257" s="69">
        <f t="shared" si="60"/>
        <v>12.0755400995134</v>
      </c>
      <c r="H257" s="69">
        <f t="shared" si="60"/>
        <v>3.33333333333333</v>
      </c>
      <c r="I257" s="69">
        <f t="shared" si="60"/>
        <v>31.4068378967469</v>
      </c>
      <c r="J257" s="86">
        <f t="shared" si="55"/>
        <v>58.1431685444967</v>
      </c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</row>
    <row r="258" customHeight="1" spans="1:2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</row>
    <row r="259" customHeight="1" spans="1:28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</row>
    <row r="260" customHeight="1" spans="1:28">
      <c r="A260" s="50"/>
      <c r="B260" s="50"/>
      <c r="C260" s="50"/>
      <c r="D260" s="68" t="s">
        <v>0</v>
      </c>
      <c r="E260" s="68" t="s">
        <v>21</v>
      </c>
      <c r="F260" s="68" t="s">
        <v>22</v>
      </c>
      <c r="G260" s="68" t="s">
        <v>23</v>
      </c>
      <c r="H260" s="68" t="s">
        <v>24</v>
      </c>
      <c r="I260" s="75" t="s">
        <v>25</v>
      </c>
      <c r="J260" s="75" t="s">
        <v>33</v>
      </c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</row>
    <row r="261" customHeight="1" spans="1:28">
      <c r="A261" s="50"/>
      <c r="B261" s="50"/>
      <c r="C261" s="50" t="s">
        <v>10</v>
      </c>
      <c r="D261" s="58" t="s">
        <v>3</v>
      </c>
      <c r="E261" s="70">
        <f t="shared" ref="E261:I261" si="61">E248</f>
        <v>10000</v>
      </c>
      <c r="F261" s="70">
        <f t="shared" si="61"/>
        <v>10000</v>
      </c>
      <c r="G261" s="70">
        <f t="shared" si="61"/>
        <v>25000</v>
      </c>
      <c r="H261" s="70">
        <f t="shared" si="61"/>
        <v>15000</v>
      </c>
      <c r="I261" s="70">
        <f t="shared" si="61"/>
        <v>20000</v>
      </c>
      <c r="J261" s="70">
        <f t="shared" ref="J261:J265" si="62">SUM(E261:I261)</f>
        <v>80000</v>
      </c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</row>
    <row r="262" customHeight="1" spans="1:28">
      <c r="A262" s="50"/>
      <c r="B262" s="50"/>
      <c r="C262" s="50"/>
      <c r="D262" s="58" t="s">
        <v>37</v>
      </c>
      <c r="E262" s="70">
        <f t="shared" ref="E262:I262" si="63">E248/E243</f>
        <v>10204.0816326531</v>
      </c>
      <c r="F262" s="70">
        <f t="shared" si="63"/>
        <v>10000</v>
      </c>
      <c r="G262" s="70">
        <f t="shared" si="63"/>
        <v>29069.7674418605</v>
      </c>
      <c r="H262" s="70">
        <f t="shared" si="63"/>
        <v>15000</v>
      </c>
      <c r="I262" s="70">
        <f t="shared" si="63"/>
        <v>21052.6315789474</v>
      </c>
      <c r="J262" s="70">
        <f t="shared" si="62"/>
        <v>85326.4806534609</v>
      </c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</row>
    <row r="263" customHeight="1" spans="1:28">
      <c r="A263" s="50"/>
      <c r="B263" s="50"/>
      <c r="C263" s="50"/>
      <c r="D263" s="58" t="s">
        <v>38</v>
      </c>
      <c r="E263" s="70">
        <f t="shared" ref="E263:I263" si="64">E262/E242</f>
        <v>13605.4421768707</v>
      </c>
      <c r="F263" s="70">
        <f t="shared" si="64"/>
        <v>13333.3333333333</v>
      </c>
      <c r="G263" s="70">
        <f t="shared" si="64"/>
        <v>53832.902670112</v>
      </c>
      <c r="H263" s="70">
        <f t="shared" si="64"/>
        <v>15000</v>
      </c>
      <c r="I263" s="70">
        <f t="shared" si="64"/>
        <v>52631.5789473684</v>
      </c>
      <c r="J263" s="70">
        <f t="shared" si="62"/>
        <v>148403.257127684</v>
      </c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</row>
    <row r="264" customHeight="1" spans="1:28">
      <c r="A264" s="50"/>
      <c r="B264" s="50"/>
      <c r="C264" s="50"/>
      <c r="D264" s="58" t="s">
        <v>39</v>
      </c>
      <c r="E264" s="70">
        <f t="shared" ref="E264:I264" si="65">E263/E241</f>
        <v>30234.3159486017</v>
      </c>
      <c r="F264" s="70">
        <f t="shared" si="65"/>
        <v>24242.4242424242</v>
      </c>
      <c r="G264" s="70">
        <f t="shared" si="65"/>
        <v>131299.762610029</v>
      </c>
      <c r="H264" s="70">
        <f t="shared" si="65"/>
        <v>16666.6666666667</v>
      </c>
      <c r="I264" s="70">
        <f t="shared" si="65"/>
        <v>150375.939849624</v>
      </c>
      <c r="J264" s="70">
        <f t="shared" si="62"/>
        <v>352819.109317346</v>
      </c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</row>
    <row r="265" customHeight="1" spans="1:28">
      <c r="A265" s="50"/>
      <c r="B265" s="50"/>
      <c r="C265" s="50"/>
      <c r="D265" s="58" t="s">
        <v>40</v>
      </c>
      <c r="E265" s="70">
        <f t="shared" ref="E265:I265" si="66">E264/E240</f>
        <v>30234.3159486017</v>
      </c>
      <c r="F265" s="70">
        <f t="shared" si="66"/>
        <v>38480.0384800385</v>
      </c>
      <c r="G265" s="70">
        <f t="shared" si="66"/>
        <v>160121.661719548</v>
      </c>
      <c r="H265" s="70">
        <f t="shared" si="66"/>
        <v>16666.6666666667</v>
      </c>
      <c r="I265" s="70">
        <f t="shared" si="66"/>
        <v>167084.377610693</v>
      </c>
      <c r="J265" s="70">
        <f t="shared" si="62"/>
        <v>412587.060425548</v>
      </c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</row>
    <row r="266" customHeight="1" spans="1:28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</row>
    <row r="267" customHeight="1" spans="1:28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</row>
    <row r="268" customHeight="1" spans="1:28">
      <c r="A268" s="50"/>
      <c r="B268" s="50"/>
      <c r="C268" s="50" t="s">
        <v>11</v>
      </c>
      <c r="D268" s="68" t="s">
        <v>32</v>
      </c>
      <c r="E268" s="68" t="s">
        <v>21</v>
      </c>
      <c r="F268" s="68" t="s">
        <v>22</v>
      </c>
      <c r="G268" s="68" t="s">
        <v>23</v>
      </c>
      <c r="H268" s="68" t="s">
        <v>24</v>
      </c>
      <c r="I268" s="75" t="s">
        <v>25</v>
      </c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</row>
    <row r="269" customHeight="1" spans="1:28">
      <c r="A269" s="50"/>
      <c r="B269" s="50"/>
      <c r="C269" s="50"/>
      <c r="D269" s="58" t="s">
        <v>48</v>
      </c>
      <c r="E269" s="70">
        <v>15000</v>
      </c>
      <c r="F269" s="70">
        <v>15000</v>
      </c>
      <c r="G269" s="70">
        <v>25000</v>
      </c>
      <c r="H269" s="70">
        <v>15000</v>
      </c>
      <c r="I269" s="70">
        <v>20000</v>
      </c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</row>
    <row r="270" customHeight="1" spans="1:28">
      <c r="A270" s="50"/>
      <c r="B270" s="50"/>
      <c r="C270" s="50"/>
      <c r="D270" s="58" t="s">
        <v>35</v>
      </c>
      <c r="E270" s="70">
        <v>11000</v>
      </c>
      <c r="F270" s="70">
        <v>10000</v>
      </c>
      <c r="G270" s="70">
        <v>17000</v>
      </c>
      <c r="H270" s="70">
        <v>5000</v>
      </c>
      <c r="I270" s="70">
        <v>14000</v>
      </c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</row>
    <row r="271" customHeight="1" spans="1:28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</row>
    <row r="272" customHeight="1" spans="1:28">
      <c r="A272" s="50"/>
      <c r="B272" s="50"/>
      <c r="C272" s="50" t="s">
        <v>36</v>
      </c>
      <c r="D272" s="68" t="s">
        <v>0</v>
      </c>
      <c r="E272" s="68" t="s">
        <v>21</v>
      </c>
      <c r="F272" s="68" t="s">
        <v>22</v>
      </c>
      <c r="G272" s="68" t="s">
        <v>23</v>
      </c>
      <c r="H272" s="68" t="s">
        <v>24</v>
      </c>
      <c r="I272" s="75" t="s">
        <v>25</v>
      </c>
      <c r="J272" s="75" t="s">
        <v>33</v>
      </c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</row>
    <row r="273" customHeight="1" spans="1:28">
      <c r="A273" s="50"/>
      <c r="B273" s="50"/>
      <c r="C273" s="50" t="s">
        <v>11</v>
      </c>
      <c r="D273" s="58" t="s">
        <v>3</v>
      </c>
      <c r="E273" s="69">
        <f t="shared" ref="E273:I273" si="67">E269/E270</f>
        <v>1.36363636363636</v>
      </c>
      <c r="F273" s="69">
        <f t="shared" si="67"/>
        <v>1.5</v>
      </c>
      <c r="G273" s="69">
        <f t="shared" si="67"/>
        <v>1.47058823529412</v>
      </c>
      <c r="H273" s="69">
        <f t="shared" si="67"/>
        <v>3</v>
      </c>
      <c r="I273" s="69">
        <f t="shared" si="67"/>
        <v>1.42857142857143</v>
      </c>
      <c r="J273" s="86">
        <f t="shared" ref="J273:J278" si="68">SUM(E273:I273)</f>
        <v>8.76279602750191</v>
      </c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</row>
    <row r="274" customHeight="1" spans="1:28">
      <c r="A274" s="50"/>
      <c r="B274" s="50"/>
      <c r="C274" s="50"/>
      <c r="D274" s="58" t="s">
        <v>37</v>
      </c>
      <c r="E274" s="69">
        <f t="shared" ref="E274:I274" si="69">E283/E270</f>
        <v>1.39146567717996</v>
      </c>
      <c r="F274" s="69">
        <f t="shared" si="69"/>
        <v>1.5</v>
      </c>
      <c r="G274" s="69">
        <f t="shared" si="69"/>
        <v>1.70998632010944</v>
      </c>
      <c r="H274" s="69">
        <f t="shared" si="69"/>
        <v>3</v>
      </c>
      <c r="I274" s="69">
        <f t="shared" si="69"/>
        <v>1.50375939849624</v>
      </c>
      <c r="J274" s="86">
        <f t="shared" si="68"/>
        <v>9.10521139578564</v>
      </c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</row>
    <row r="275" customHeight="1" spans="1:28">
      <c r="A275" s="50"/>
      <c r="B275" s="50"/>
      <c r="C275" s="50"/>
      <c r="D275" s="58" t="s">
        <v>38</v>
      </c>
      <c r="E275" s="69">
        <f t="shared" ref="E275:I275" si="70">E284/E270</f>
        <v>1.85528756957328</v>
      </c>
      <c r="F275" s="69">
        <f t="shared" si="70"/>
        <v>2</v>
      </c>
      <c r="G275" s="69">
        <f t="shared" si="70"/>
        <v>3.166641333536</v>
      </c>
      <c r="H275" s="69">
        <f t="shared" si="70"/>
        <v>3</v>
      </c>
      <c r="I275" s="69">
        <f t="shared" si="70"/>
        <v>3.7593984962406</v>
      </c>
      <c r="J275" s="86">
        <f t="shared" si="68"/>
        <v>13.7813273993499</v>
      </c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</row>
    <row r="276" customHeight="1" spans="1:28">
      <c r="A276" s="50"/>
      <c r="B276" s="50"/>
      <c r="C276" s="50"/>
      <c r="D276" s="58" t="s">
        <v>39</v>
      </c>
      <c r="E276" s="69">
        <f t="shared" ref="E276:I276" si="71">E285/E270</f>
        <v>4.12286126571841</v>
      </c>
      <c r="F276" s="69">
        <f t="shared" si="71"/>
        <v>3.63636363636364</v>
      </c>
      <c r="G276" s="69">
        <f t="shared" si="71"/>
        <v>7.72351544764878</v>
      </c>
      <c r="H276" s="69">
        <f t="shared" si="71"/>
        <v>3.33333333333333</v>
      </c>
      <c r="I276" s="69">
        <f t="shared" si="71"/>
        <v>10.7411385606874</v>
      </c>
      <c r="J276" s="86">
        <f t="shared" si="68"/>
        <v>29.5572122437516</v>
      </c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</row>
    <row r="277" customHeight="1" spans="1:28">
      <c r="A277" s="50"/>
      <c r="B277" s="50"/>
      <c r="C277" s="50"/>
      <c r="D277" s="58" t="s">
        <v>40</v>
      </c>
      <c r="E277" s="69">
        <f t="shared" ref="E277:I277" si="72">E286/E270</f>
        <v>4.12286126571841</v>
      </c>
      <c r="F277" s="69">
        <f t="shared" si="72"/>
        <v>5.77200577200577</v>
      </c>
      <c r="G277" s="69">
        <f t="shared" si="72"/>
        <v>9.41892127762046</v>
      </c>
      <c r="H277" s="69">
        <f t="shared" si="72"/>
        <v>3.33333333333333</v>
      </c>
      <c r="I277" s="69">
        <f t="shared" si="72"/>
        <v>11.9345984007638</v>
      </c>
      <c r="J277" s="86">
        <f t="shared" si="68"/>
        <v>34.5817200494418</v>
      </c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</row>
    <row r="278" customHeight="1" spans="1:28">
      <c r="A278" s="50"/>
      <c r="B278" s="50"/>
      <c r="C278" s="50"/>
      <c r="D278" s="58" t="s">
        <v>41</v>
      </c>
      <c r="E278" s="69">
        <f t="shared" ref="E278:I278" si="73">E277/E239</f>
        <v>8.24572253143682</v>
      </c>
      <c r="F278" s="69">
        <f t="shared" si="73"/>
        <v>8.74546329091783</v>
      </c>
      <c r="G278" s="69">
        <f t="shared" si="73"/>
        <v>12.0755400995134</v>
      </c>
      <c r="H278" s="69">
        <f t="shared" si="73"/>
        <v>3.33333333333333</v>
      </c>
      <c r="I278" s="69">
        <f t="shared" si="73"/>
        <v>31.4068378967469</v>
      </c>
      <c r="J278" s="86">
        <f t="shared" si="68"/>
        <v>63.8068971519483</v>
      </c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</row>
    <row r="279" customHeight="1" spans="1:28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</row>
    <row r="280" customHeight="1" spans="1:28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</row>
    <row r="281" customHeight="1" spans="1:28">
      <c r="A281" s="50"/>
      <c r="B281" s="50"/>
      <c r="C281" s="50" t="s">
        <v>42</v>
      </c>
      <c r="D281" s="68" t="s">
        <v>0</v>
      </c>
      <c r="E281" s="68" t="s">
        <v>21</v>
      </c>
      <c r="F281" s="68" t="s">
        <v>22</v>
      </c>
      <c r="G281" s="68" t="s">
        <v>23</v>
      </c>
      <c r="H281" s="68" t="s">
        <v>24</v>
      </c>
      <c r="I281" s="75" t="s">
        <v>25</v>
      </c>
      <c r="J281" s="75" t="s">
        <v>33</v>
      </c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</row>
    <row r="282" customHeight="1" spans="1:28">
      <c r="A282" s="50"/>
      <c r="B282" s="50"/>
      <c r="C282" s="50" t="s">
        <v>11</v>
      </c>
      <c r="D282" s="58" t="s">
        <v>3</v>
      </c>
      <c r="E282" s="70">
        <f t="shared" ref="E282:I282" si="74">E269</f>
        <v>15000</v>
      </c>
      <c r="F282" s="70">
        <f t="shared" si="74"/>
        <v>15000</v>
      </c>
      <c r="G282" s="70">
        <f t="shared" si="74"/>
        <v>25000</v>
      </c>
      <c r="H282" s="70">
        <f t="shared" si="74"/>
        <v>15000</v>
      </c>
      <c r="I282" s="70">
        <f t="shared" si="74"/>
        <v>20000</v>
      </c>
      <c r="J282" s="70">
        <f t="shared" ref="J282:J286" si="75">SUM(E282:I282)</f>
        <v>90000</v>
      </c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</row>
    <row r="283" customHeight="1" spans="1:28">
      <c r="A283" s="50"/>
      <c r="B283" s="50"/>
      <c r="C283" s="50"/>
      <c r="D283" s="58" t="s">
        <v>37</v>
      </c>
      <c r="E283" s="70">
        <f t="shared" ref="E283:I283" si="76">E282/E243</f>
        <v>15306.1224489796</v>
      </c>
      <c r="F283" s="70">
        <f t="shared" si="76"/>
        <v>15000</v>
      </c>
      <c r="G283" s="70">
        <f t="shared" si="76"/>
        <v>29069.7674418605</v>
      </c>
      <c r="H283" s="70">
        <f t="shared" si="76"/>
        <v>15000</v>
      </c>
      <c r="I283" s="70">
        <f t="shared" si="76"/>
        <v>21052.6315789474</v>
      </c>
      <c r="J283" s="70">
        <f t="shared" si="75"/>
        <v>95428.5214697874</v>
      </c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</row>
    <row r="284" customHeight="1" spans="1:28">
      <c r="A284" s="50"/>
      <c r="B284" s="50"/>
      <c r="C284" s="50"/>
      <c r="D284" s="58" t="s">
        <v>38</v>
      </c>
      <c r="E284" s="70">
        <f t="shared" ref="E284:I284" si="77">E283/E242</f>
        <v>20408.1632653061</v>
      </c>
      <c r="F284" s="70">
        <f t="shared" si="77"/>
        <v>20000</v>
      </c>
      <c r="G284" s="70">
        <f t="shared" si="77"/>
        <v>53832.902670112</v>
      </c>
      <c r="H284" s="70">
        <f t="shared" si="77"/>
        <v>15000</v>
      </c>
      <c r="I284" s="70">
        <f t="shared" si="77"/>
        <v>52631.5789473684</v>
      </c>
      <c r="J284" s="70">
        <f t="shared" si="75"/>
        <v>161872.644882787</v>
      </c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</row>
    <row r="285" customHeight="1" spans="1:28">
      <c r="A285" s="50"/>
      <c r="B285" s="50"/>
      <c r="C285" s="50"/>
      <c r="D285" s="58" t="s">
        <v>39</v>
      </c>
      <c r="E285" s="70">
        <f t="shared" ref="E285:I285" si="78">E284/E241</f>
        <v>45351.4739229025</v>
      </c>
      <c r="F285" s="70">
        <f t="shared" si="78"/>
        <v>36363.6363636364</v>
      </c>
      <c r="G285" s="70">
        <f t="shared" si="78"/>
        <v>131299.762610029</v>
      </c>
      <c r="H285" s="70">
        <f t="shared" si="78"/>
        <v>16666.6666666667</v>
      </c>
      <c r="I285" s="70">
        <f t="shared" si="78"/>
        <v>150375.939849624</v>
      </c>
      <c r="J285" s="70">
        <f t="shared" si="75"/>
        <v>380057.479412859</v>
      </c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</row>
    <row r="286" customHeight="1" spans="1:28">
      <c r="A286" s="50"/>
      <c r="B286" s="50"/>
      <c r="C286" s="50"/>
      <c r="D286" s="58" t="s">
        <v>40</v>
      </c>
      <c r="E286" s="70">
        <f t="shared" ref="E286:I286" si="79">E285/E240</f>
        <v>45351.4739229025</v>
      </c>
      <c r="F286" s="70">
        <f t="shared" si="79"/>
        <v>57720.0577200577</v>
      </c>
      <c r="G286" s="70">
        <f t="shared" si="79"/>
        <v>160121.661719548</v>
      </c>
      <c r="H286" s="70">
        <f t="shared" si="79"/>
        <v>16666.6666666667</v>
      </c>
      <c r="I286" s="70">
        <f t="shared" si="79"/>
        <v>167084.377610693</v>
      </c>
      <c r="J286" s="70">
        <f t="shared" si="75"/>
        <v>446944.237639868</v>
      </c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</row>
    <row r="287" customHeight="1" spans="1:28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</row>
    <row r="288" customHeight="1" spans="1:2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</row>
    <row r="289" customHeight="1" spans="1:28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</row>
    <row r="290" customHeight="1" spans="1:28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</row>
    <row r="291" customHeight="1" spans="1:28">
      <c r="A291" s="50"/>
      <c r="B291" s="50"/>
      <c r="C291" s="50" t="s">
        <v>12</v>
      </c>
      <c r="D291" s="68" t="s">
        <v>32</v>
      </c>
      <c r="E291" s="68" t="s">
        <v>21</v>
      </c>
      <c r="F291" s="68" t="s">
        <v>22</v>
      </c>
      <c r="G291" s="68" t="s">
        <v>23</v>
      </c>
      <c r="H291" s="68" t="s">
        <v>24</v>
      </c>
      <c r="I291" s="75" t="s">
        <v>25</v>
      </c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</row>
    <row r="292" customHeight="1" spans="1:28">
      <c r="A292" s="50"/>
      <c r="B292" s="50"/>
      <c r="C292" s="50"/>
      <c r="D292" s="58" t="s">
        <v>49</v>
      </c>
      <c r="E292" s="70">
        <v>15000</v>
      </c>
      <c r="F292" s="70">
        <v>15000</v>
      </c>
      <c r="G292" s="70">
        <v>30000</v>
      </c>
      <c r="H292" s="70">
        <v>15000</v>
      </c>
      <c r="I292" s="70">
        <v>30000</v>
      </c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</row>
    <row r="293" customHeight="1" spans="1:28">
      <c r="A293" s="50"/>
      <c r="B293" s="50"/>
      <c r="C293" s="50"/>
      <c r="D293" s="58" t="s">
        <v>35</v>
      </c>
      <c r="E293" s="70">
        <v>11000</v>
      </c>
      <c r="F293" s="70">
        <v>10000</v>
      </c>
      <c r="G293" s="70">
        <v>17000</v>
      </c>
      <c r="H293" s="70">
        <v>5000</v>
      </c>
      <c r="I293" s="70">
        <v>14000</v>
      </c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</row>
    <row r="294" customHeight="1" spans="1:28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</row>
    <row r="295" customHeight="1" spans="1:28">
      <c r="A295" s="50"/>
      <c r="B295" s="50"/>
      <c r="C295" s="50" t="s">
        <v>36</v>
      </c>
      <c r="D295" s="68" t="s">
        <v>0</v>
      </c>
      <c r="E295" s="68" t="s">
        <v>21</v>
      </c>
      <c r="F295" s="68" t="s">
        <v>22</v>
      </c>
      <c r="G295" s="68" t="s">
        <v>23</v>
      </c>
      <c r="H295" s="68" t="s">
        <v>24</v>
      </c>
      <c r="I295" s="75" t="s">
        <v>25</v>
      </c>
      <c r="J295" s="75" t="s">
        <v>33</v>
      </c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</row>
    <row r="296" customHeight="1" spans="1:28">
      <c r="A296" s="50"/>
      <c r="B296" s="50"/>
      <c r="C296" s="50" t="s">
        <v>12</v>
      </c>
      <c r="D296" s="58" t="s">
        <v>3</v>
      </c>
      <c r="E296" s="69">
        <f t="shared" ref="E296:I296" si="80">E292/E293</f>
        <v>1.36363636363636</v>
      </c>
      <c r="F296" s="69">
        <f t="shared" si="80"/>
        <v>1.5</v>
      </c>
      <c r="G296" s="69">
        <f t="shared" si="80"/>
        <v>1.76470588235294</v>
      </c>
      <c r="H296" s="69">
        <f t="shared" si="80"/>
        <v>3</v>
      </c>
      <c r="I296" s="69">
        <f t="shared" si="80"/>
        <v>2.14285714285714</v>
      </c>
      <c r="J296" s="86">
        <f t="shared" ref="J296:J301" si="81">SUM(E296:I296)</f>
        <v>9.77119938884645</v>
      </c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</row>
    <row r="297" customHeight="1" spans="1:28">
      <c r="A297" s="50"/>
      <c r="B297" s="50"/>
      <c r="C297" s="50"/>
      <c r="D297" s="58" t="s">
        <v>37</v>
      </c>
      <c r="E297" s="69">
        <f t="shared" ref="E297:I297" si="82">E306/E293</f>
        <v>1.39146567717996</v>
      </c>
      <c r="F297" s="69">
        <f t="shared" si="82"/>
        <v>1.5</v>
      </c>
      <c r="G297" s="69">
        <f t="shared" si="82"/>
        <v>2.05198358413133</v>
      </c>
      <c r="H297" s="69">
        <f t="shared" si="82"/>
        <v>3</v>
      </c>
      <c r="I297" s="69">
        <f t="shared" si="82"/>
        <v>2.25563909774436</v>
      </c>
      <c r="J297" s="86">
        <f t="shared" si="81"/>
        <v>10.1990883590557</v>
      </c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</row>
    <row r="298" customHeight="1" spans="1:28">
      <c r="A298" s="50"/>
      <c r="B298" s="50"/>
      <c r="C298" s="50"/>
      <c r="D298" s="58" t="s">
        <v>38</v>
      </c>
      <c r="E298" s="69">
        <f t="shared" ref="E298:I298" si="83">E307/E293</f>
        <v>1.85528756957328</v>
      </c>
      <c r="F298" s="69">
        <f t="shared" si="83"/>
        <v>2</v>
      </c>
      <c r="G298" s="69">
        <f t="shared" si="83"/>
        <v>3.7999696002432</v>
      </c>
      <c r="H298" s="69">
        <f t="shared" si="83"/>
        <v>3</v>
      </c>
      <c r="I298" s="69">
        <f t="shared" si="83"/>
        <v>5.6390977443609</v>
      </c>
      <c r="J298" s="86">
        <f t="shared" si="81"/>
        <v>16.2943549141774</v>
      </c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</row>
    <row r="299" customHeight="1" spans="1:28">
      <c r="A299" s="50"/>
      <c r="B299" s="50"/>
      <c r="C299" s="50"/>
      <c r="D299" s="58" t="s">
        <v>39</v>
      </c>
      <c r="E299" s="69">
        <f t="shared" ref="E299:I299" si="84">E308/E293</f>
        <v>4.12286126571841</v>
      </c>
      <c r="F299" s="69">
        <f t="shared" si="84"/>
        <v>3.63636363636364</v>
      </c>
      <c r="G299" s="69">
        <f t="shared" si="84"/>
        <v>9.26821853717853</v>
      </c>
      <c r="H299" s="69">
        <f t="shared" si="84"/>
        <v>3.33333333333333</v>
      </c>
      <c r="I299" s="69">
        <f t="shared" si="84"/>
        <v>16.1117078410311</v>
      </c>
      <c r="J299" s="86">
        <f t="shared" si="81"/>
        <v>36.4724846136251</v>
      </c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</row>
    <row r="300" customHeight="1" spans="1:28">
      <c r="A300" s="50"/>
      <c r="B300" s="50"/>
      <c r="C300" s="50"/>
      <c r="D300" s="58" t="s">
        <v>40</v>
      </c>
      <c r="E300" s="69">
        <f t="shared" ref="E300:I300" si="85">E309/E293</f>
        <v>4.12286126571841</v>
      </c>
      <c r="F300" s="69">
        <f t="shared" si="85"/>
        <v>5.77200577200577</v>
      </c>
      <c r="G300" s="69">
        <f t="shared" si="85"/>
        <v>11.3027055331446</v>
      </c>
      <c r="H300" s="69">
        <f t="shared" si="85"/>
        <v>3.33333333333333</v>
      </c>
      <c r="I300" s="69">
        <f t="shared" si="85"/>
        <v>17.9018976011457</v>
      </c>
      <c r="J300" s="86">
        <f t="shared" si="81"/>
        <v>42.4328035053478</v>
      </c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</row>
    <row r="301" customHeight="1" spans="1:28">
      <c r="A301" s="50"/>
      <c r="B301" s="50"/>
      <c r="C301" s="50"/>
      <c r="D301" s="58" t="s">
        <v>41</v>
      </c>
      <c r="E301" s="69">
        <f t="shared" ref="E301:I301" si="86">E300/E239</f>
        <v>8.24572253143682</v>
      </c>
      <c r="F301" s="69">
        <f t="shared" si="86"/>
        <v>8.74546329091783</v>
      </c>
      <c r="G301" s="69">
        <f t="shared" si="86"/>
        <v>14.4906481194161</v>
      </c>
      <c r="H301" s="69">
        <f t="shared" si="86"/>
        <v>3.33333333333333</v>
      </c>
      <c r="I301" s="69">
        <f t="shared" si="86"/>
        <v>47.1102568451203</v>
      </c>
      <c r="J301" s="86">
        <f t="shared" si="81"/>
        <v>81.9254241202244</v>
      </c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</row>
    <row r="302" customHeight="1" spans="1:28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</row>
    <row r="303" customHeight="1" spans="1:28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</row>
    <row r="304" customHeight="1" spans="1:28">
      <c r="A304" s="50"/>
      <c r="B304" s="50"/>
      <c r="C304" s="50" t="s">
        <v>12</v>
      </c>
      <c r="D304" s="68" t="s">
        <v>0</v>
      </c>
      <c r="E304" s="68" t="s">
        <v>21</v>
      </c>
      <c r="F304" s="68" t="s">
        <v>22</v>
      </c>
      <c r="G304" s="68" t="s">
        <v>23</v>
      </c>
      <c r="H304" s="68" t="s">
        <v>24</v>
      </c>
      <c r="I304" s="75" t="s">
        <v>25</v>
      </c>
      <c r="J304" s="75" t="s">
        <v>33</v>
      </c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</row>
    <row r="305" customHeight="1" spans="1:28">
      <c r="A305" s="50"/>
      <c r="B305" s="50"/>
      <c r="C305" s="50"/>
      <c r="D305" s="58" t="s">
        <v>3</v>
      </c>
      <c r="E305" s="70">
        <f t="shared" ref="E305:I305" si="87">E292</f>
        <v>15000</v>
      </c>
      <c r="F305" s="70">
        <f t="shared" si="87"/>
        <v>15000</v>
      </c>
      <c r="G305" s="70">
        <f t="shared" si="87"/>
        <v>30000</v>
      </c>
      <c r="H305" s="70">
        <f t="shared" si="87"/>
        <v>15000</v>
      </c>
      <c r="I305" s="70">
        <f t="shared" si="87"/>
        <v>30000</v>
      </c>
      <c r="J305" s="70">
        <f t="shared" ref="J305:J309" si="88">SUM(E305:I305)</f>
        <v>105000</v>
      </c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</row>
    <row r="306" customHeight="1" spans="1:28">
      <c r="A306" s="50"/>
      <c r="B306" s="50"/>
      <c r="C306" s="50"/>
      <c r="D306" s="58" t="s">
        <v>37</v>
      </c>
      <c r="E306" s="70">
        <f t="shared" ref="E306:I306" si="89">E305/E243</f>
        <v>15306.1224489796</v>
      </c>
      <c r="F306" s="70">
        <f t="shared" si="89"/>
        <v>15000</v>
      </c>
      <c r="G306" s="70">
        <f t="shared" si="89"/>
        <v>34883.7209302326</v>
      </c>
      <c r="H306" s="70">
        <f t="shared" si="89"/>
        <v>15000</v>
      </c>
      <c r="I306" s="70">
        <f t="shared" si="89"/>
        <v>31578.9473684211</v>
      </c>
      <c r="J306" s="70">
        <f t="shared" si="88"/>
        <v>111768.790747633</v>
      </c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</row>
    <row r="307" customHeight="1" spans="1:28">
      <c r="A307" s="50"/>
      <c r="B307" s="50"/>
      <c r="C307" s="50"/>
      <c r="D307" s="58" t="s">
        <v>38</v>
      </c>
      <c r="E307" s="70">
        <f t="shared" ref="E307:I307" si="90">E306/E242</f>
        <v>20408.1632653061</v>
      </c>
      <c r="F307" s="70">
        <f t="shared" si="90"/>
        <v>20000</v>
      </c>
      <c r="G307" s="70">
        <f t="shared" si="90"/>
        <v>64599.4832041344</v>
      </c>
      <c r="H307" s="70">
        <f t="shared" si="90"/>
        <v>15000</v>
      </c>
      <c r="I307" s="70">
        <f t="shared" si="90"/>
        <v>78947.3684210526</v>
      </c>
      <c r="J307" s="70">
        <f t="shared" si="88"/>
        <v>198955.014890493</v>
      </c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</row>
    <row r="308" customHeight="1" spans="1:28">
      <c r="A308" s="50"/>
      <c r="B308" s="50"/>
      <c r="C308" s="50"/>
      <c r="D308" s="58" t="s">
        <v>39</v>
      </c>
      <c r="E308" s="70">
        <f t="shared" ref="E308:I308" si="91">E307/E241</f>
        <v>45351.4739229025</v>
      </c>
      <c r="F308" s="70">
        <f t="shared" si="91"/>
        <v>36363.6363636364</v>
      </c>
      <c r="G308" s="70">
        <f t="shared" si="91"/>
        <v>157559.715132035</v>
      </c>
      <c r="H308" s="70">
        <f t="shared" si="91"/>
        <v>16666.6666666667</v>
      </c>
      <c r="I308" s="70">
        <f t="shared" si="91"/>
        <v>225563.909774436</v>
      </c>
      <c r="J308" s="70">
        <f t="shared" si="88"/>
        <v>481505.401859677</v>
      </c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</row>
    <row r="309" customHeight="1" spans="1:28">
      <c r="A309" s="50"/>
      <c r="B309" s="50"/>
      <c r="C309" s="50"/>
      <c r="D309" s="58" t="s">
        <v>40</v>
      </c>
      <c r="E309" s="70">
        <f t="shared" ref="E309:I309" si="92">E308/E240</f>
        <v>45351.4739229025</v>
      </c>
      <c r="F309" s="70">
        <f t="shared" si="92"/>
        <v>57720.0577200577</v>
      </c>
      <c r="G309" s="70">
        <f t="shared" si="92"/>
        <v>192145.994063457</v>
      </c>
      <c r="H309" s="70">
        <f t="shared" si="92"/>
        <v>16666.6666666667</v>
      </c>
      <c r="I309" s="70">
        <f t="shared" si="92"/>
        <v>250626.56641604</v>
      </c>
      <c r="J309" s="70">
        <f t="shared" si="88"/>
        <v>562510.758789124</v>
      </c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</row>
    <row r="310" customHeight="1" spans="1:28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</row>
    <row r="311" customHeight="1" spans="1:28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</row>
    <row r="312" customHeight="1" spans="1:28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</row>
    <row r="313" customHeight="1" spans="1:28">
      <c r="A313" s="50"/>
      <c r="B313" s="50"/>
      <c r="C313" s="50" t="s">
        <v>13</v>
      </c>
      <c r="D313" s="68" t="s">
        <v>32</v>
      </c>
      <c r="E313" s="68" t="s">
        <v>21</v>
      </c>
      <c r="F313" s="68" t="s">
        <v>22</v>
      </c>
      <c r="G313" s="68" t="s">
        <v>23</v>
      </c>
      <c r="H313" s="68" t="s">
        <v>24</v>
      </c>
      <c r="I313" s="75" t="s">
        <v>25</v>
      </c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</row>
    <row r="314" customHeight="1" spans="1:28">
      <c r="A314" s="50"/>
      <c r="B314" s="50"/>
      <c r="C314" s="50"/>
      <c r="D314" s="58" t="s">
        <v>50</v>
      </c>
      <c r="E314" s="70">
        <v>15000</v>
      </c>
      <c r="F314" s="70">
        <v>20000</v>
      </c>
      <c r="G314" s="70">
        <v>40000</v>
      </c>
      <c r="H314" s="70">
        <v>20000</v>
      </c>
      <c r="I314" s="70">
        <v>30000</v>
      </c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</row>
    <row r="315" customHeight="1" spans="1:28">
      <c r="A315" s="50"/>
      <c r="B315" s="50"/>
      <c r="C315" s="50"/>
      <c r="D315" s="58" t="s">
        <v>35</v>
      </c>
      <c r="E315" s="70">
        <v>11000</v>
      </c>
      <c r="F315" s="70">
        <v>10000</v>
      </c>
      <c r="G315" s="70">
        <v>17000</v>
      </c>
      <c r="H315" s="70">
        <v>5000</v>
      </c>
      <c r="I315" s="70">
        <v>14000</v>
      </c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</row>
    <row r="316" customHeight="1" spans="1:28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</row>
    <row r="317" customHeight="1" spans="1:28">
      <c r="A317" s="50"/>
      <c r="B317" s="50"/>
      <c r="C317" s="50" t="s">
        <v>36</v>
      </c>
      <c r="D317" s="68" t="s">
        <v>0</v>
      </c>
      <c r="E317" s="68" t="s">
        <v>21</v>
      </c>
      <c r="F317" s="68" t="s">
        <v>22</v>
      </c>
      <c r="G317" s="68" t="s">
        <v>23</v>
      </c>
      <c r="H317" s="68" t="s">
        <v>24</v>
      </c>
      <c r="I317" s="75" t="s">
        <v>25</v>
      </c>
      <c r="J317" s="75" t="s">
        <v>33</v>
      </c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</row>
    <row r="318" customHeight="1" spans="1:28">
      <c r="A318" s="50"/>
      <c r="B318" s="50"/>
      <c r="C318" s="50" t="s">
        <v>13</v>
      </c>
      <c r="D318" s="58" t="s">
        <v>3</v>
      </c>
      <c r="E318" s="69">
        <f t="shared" ref="E318:I318" si="93">E314/E315</f>
        <v>1.36363636363636</v>
      </c>
      <c r="F318" s="69">
        <f t="shared" si="93"/>
        <v>2</v>
      </c>
      <c r="G318" s="69">
        <f t="shared" si="93"/>
        <v>2.35294117647059</v>
      </c>
      <c r="H318" s="69">
        <f t="shared" si="93"/>
        <v>4</v>
      </c>
      <c r="I318" s="69">
        <f t="shared" si="93"/>
        <v>2.14285714285714</v>
      </c>
      <c r="J318" s="86">
        <f t="shared" ref="J318:J323" si="94">SUM(E318:I318)</f>
        <v>11.8594346829641</v>
      </c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</row>
    <row r="319" customHeight="1" spans="1:28">
      <c r="A319" s="50"/>
      <c r="B319" s="50"/>
      <c r="C319" s="50"/>
      <c r="D319" s="58" t="s">
        <v>37</v>
      </c>
      <c r="E319" s="69">
        <f t="shared" ref="E319:I319" si="95">E328/E315</f>
        <v>1.39146567717996</v>
      </c>
      <c r="F319" s="69">
        <f t="shared" si="95"/>
        <v>2</v>
      </c>
      <c r="G319" s="69">
        <f t="shared" si="95"/>
        <v>2.7359781121751</v>
      </c>
      <c r="H319" s="69">
        <f t="shared" si="95"/>
        <v>4</v>
      </c>
      <c r="I319" s="69">
        <f t="shared" si="95"/>
        <v>2.25563909774436</v>
      </c>
      <c r="J319" s="86">
        <f t="shared" si="94"/>
        <v>12.3830828870994</v>
      </c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</row>
    <row r="320" customHeight="1" spans="1:28">
      <c r="A320" s="50"/>
      <c r="B320" s="50"/>
      <c r="C320" s="50"/>
      <c r="D320" s="58" t="s">
        <v>38</v>
      </c>
      <c r="E320" s="69">
        <f t="shared" ref="E320:I320" si="96">E329/E315</f>
        <v>1.85528756957328</v>
      </c>
      <c r="F320" s="69">
        <f t="shared" si="96"/>
        <v>2.66666666666667</v>
      </c>
      <c r="G320" s="69">
        <f t="shared" si="96"/>
        <v>5.0666261336576</v>
      </c>
      <c r="H320" s="69">
        <f t="shared" si="96"/>
        <v>4</v>
      </c>
      <c r="I320" s="69">
        <f t="shared" si="96"/>
        <v>5.6390977443609</v>
      </c>
      <c r="J320" s="86">
        <f t="shared" si="94"/>
        <v>19.2276781142585</v>
      </c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</row>
    <row r="321" customHeight="1" spans="1:28">
      <c r="A321" s="50"/>
      <c r="B321" s="50"/>
      <c r="C321" s="50"/>
      <c r="D321" s="58" t="s">
        <v>39</v>
      </c>
      <c r="E321" s="69">
        <f t="shared" ref="E321:I321" si="97">E330/E315</f>
        <v>4.12286126571841</v>
      </c>
      <c r="F321" s="69">
        <f t="shared" si="97"/>
        <v>4.84848484848485</v>
      </c>
      <c r="G321" s="69">
        <f t="shared" si="97"/>
        <v>12.357624716238</v>
      </c>
      <c r="H321" s="69">
        <f t="shared" si="97"/>
        <v>4.44444444444444</v>
      </c>
      <c r="I321" s="69">
        <f t="shared" si="97"/>
        <v>16.1117078410311</v>
      </c>
      <c r="J321" s="86">
        <f t="shared" si="94"/>
        <v>41.8851231159169</v>
      </c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</row>
    <row r="322" customHeight="1" spans="1:28">
      <c r="A322" s="50"/>
      <c r="B322" s="50"/>
      <c r="C322" s="50"/>
      <c r="D322" s="58" t="s">
        <v>40</v>
      </c>
      <c r="E322" s="69">
        <f t="shared" ref="E322:I322" si="98">E331/E315</f>
        <v>4.12286126571841</v>
      </c>
      <c r="F322" s="69">
        <f t="shared" si="98"/>
        <v>7.6960076960077</v>
      </c>
      <c r="G322" s="69">
        <f t="shared" si="98"/>
        <v>15.0702740441927</v>
      </c>
      <c r="H322" s="69">
        <f t="shared" si="98"/>
        <v>4.44444444444444</v>
      </c>
      <c r="I322" s="69">
        <f t="shared" si="98"/>
        <v>17.9018976011457</v>
      </c>
      <c r="J322" s="86">
        <f t="shared" si="94"/>
        <v>49.235485051509</v>
      </c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</row>
    <row r="323" customHeight="1" spans="1:28">
      <c r="A323" s="50"/>
      <c r="B323" s="50"/>
      <c r="C323" s="50"/>
      <c r="D323" s="58" t="s">
        <v>41</v>
      </c>
      <c r="E323" s="69">
        <f t="shared" ref="E323:I323" si="99">E322/E239</f>
        <v>8.24572253143682</v>
      </c>
      <c r="F323" s="69">
        <f t="shared" si="99"/>
        <v>11.6606177212238</v>
      </c>
      <c r="G323" s="69">
        <f t="shared" si="99"/>
        <v>19.3208641592215</v>
      </c>
      <c r="H323" s="69">
        <f t="shared" si="99"/>
        <v>4.44444444444444</v>
      </c>
      <c r="I323" s="69">
        <f t="shared" si="99"/>
        <v>47.1102568451203</v>
      </c>
      <c r="J323" s="86">
        <f t="shared" si="94"/>
        <v>90.7819057014468</v>
      </c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</row>
    <row r="324" customHeight="1" spans="1:28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</row>
    <row r="325" customHeight="1" spans="1:28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</row>
    <row r="326" customHeight="1" spans="1:28">
      <c r="A326" s="50"/>
      <c r="B326" s="50"/>
      <c r="C326" s="50" t="s">
        <v>42</v>
      </c>
      <c r="D326" s="68" t="s">
        <v>0</v>
      </c>
      <c r="E326" s="68" t="s">
        <v>21</v>
      </c>
      <c r="F326" s="68" t="s">
        <v>22</v>
      </c>
      <c r="G326" s="68" t="s">
        <v>23</v>
      </c>
      <c r="H326" s="68" t="s">
        <v>24</v>
      </c>
      <c r="I326" s="75" t="s">
        <v>25</v>
      </c>
      <c r="J326" s="75" t="s">
        <v>33</v>
      </c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</row>
    <row r="327" customHeight="1" spans="1:28">
      <c r="A327" s="50"/>
      <c r="B327" s="50"/>
      <c r="C327" s="50" t="s">
        <v>13</v>
      </c>
      <c r="D327" s="58" t="s">
        <v>3</v>
      </c>
      <c r="E327" s="70">
        <f t="shared" ref="E327:I327" si="100">E314</f>
        <v>15000</v>
      </c>
      <c r="F327" s="70">
        <f t="shared" si="100"/>
        <v>20000</v>
      </c>
      <c r="G327" s="70">
        <f t="shared" si="100"/>
        <v>40000</v>
      </c>
      <c r="H327" s="70">
        <f t="shared" si="100"/>
        <v>20000</v>
      </c>
      <c r="I327" s="70">
        <f t="shared" si="100"/>
        <v>30000</v>
      </c>
      <c r="J327" s="70">
        <f t="shared" ref="J327:J331" si="101">SUM(E327:I327)</f>
        <v>125000</v>
      </c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</row>
    <row r="328" customHeight="1" spans="1:28">
      <c r="A328" s="50"/>
      <c r="B328" s="50"/>
      <c r="C328" s="50"/>
      <c r="D328" s="58" t="s">
        <v>37</v>
      </c>
      <c r="E328" s="70">
        <f t="shared" ref="E328:I328" si="102">E327/E243</f>
        <v>15306.1224489796</v>
      </c>
      <c r="F328" s="70">
        <f t="shared" si="102"/>
        <v>20000</v>
      </c>
      <c r="G328" s="70">
        <f t="shared" si="102"/>
        <v>46511.6279069767</v>
      </c>
      <c r="H328" s="70">
        <f t="shared" si="102"/>
        <v>20000</v>
      </c>
      <c r="I328" s="70">
        <f t="shared" si="102"/>
        <v>31578.9473684211</v>
      </c>
      <c r="J328" s="70">
        <f t="shared" si="101"/>
        <v>133396.697724377</v>
      </c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</row>
    <row r="329" customHeight="1" spans="1:28">
      <c r="A329" s="50"/>
      <c r="B329" s="50"/>
      <c r="C329" s="50"/>
      <c r="D329" s="58" t="s">
        <v>38</v>
      </c>
      <c r="E329" s="70">
        <f t="shared" ref="E329:I329" si="103">E328/E242</f>
        <v>20408.1632653061</v>
      </c>
      <c r="F329" s="70">
        <f t="shared" si="103"/>
        <v>26666.6666666667</v>
      </c>
      <c r="G329" s="70">
        <f t="shared" si="103"/>
        <v>86132.6442721792</v>
      </c>
      <c r="H329" s="70">
        <f t="shared" si="103"/>
        <v>20000</v>
      </c>
      <c r="I329" s="70">
        <f t="shared" si="103"/>
        <v>78947.3684210526</v>
      </c>
      <c r="J329" s="70">
        <f t="shared" si="101"/>
        <v>232154.842625205</v>
      </c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</row>
    <row r="330" customHeight="1" spans="1:28">
      <c r="A330" s="50"/>
      <c r="B330" s="50"/>
      <c r="C330" s="50"/>
      <c r="D330" s="58" t="s">
        <v>39</v>
      </c>
      <c r="E330" s="70">
        <f t="shared" ref="E330:I330" si="104">E329/E241</f>
        <v>45351.4739229025</v>
      </c>
      <c r="F330" s="70">
        <f t="shared" si="104"/>
        <v>48484.8484848485</v>
      </c>
      <c r="G330" s="70">
        <f t="shared" si="104"/>
        <v>210079.620176047</v>
      </c>
      <c r="H330" s="70">
        <f t="shared" si="104"/>
        <v>22222.2222222222</v>
      </c>
      <c r="I330" s="70">
        <f t="shared" si="104"/>
        <v>225563.909774436</v>
      </c>
      <c r="J330" s="70">
        <f t="shared" si="101"/>
        <v>551702.074580456</v>
      </c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</row>
    <row r="331" customHeight="1" spans="1:28">
      <c r="A331" s="50"/>
      <c r="B331" s="50"/>
      <c r="C331" s="50"/>
      <c r="D331" s="58" t="s">
        <v>40</v>
      </c>
      <c r="E331" s="70">
        <f t="shared" ref="E331:I331" si="105">E330/E240</f>
        <v>45351.4739229025</v>
      </c>
      <c r="F331" s="70">
        <f t="shared" si="105"/>
        <v>76960.076960077</v>
      </c>
      <c r="G331" s="70">
        <f t="shared" si="105"/>
        <v>256194.658751277</v>
      </c>
      <c r="H331" s="70">
        <f t="shared" si="105"/>
        <v>22222.2222222222</v>
      </c>
      <c r="I331" s="70">
        <f t="shared" si="105"/>
        <v>250626.56641604</v>
      </c>
      <c r="J331" s="70">
        <f t="shared" si="101"/>
        <v>651354.998272518</v>
      </c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</row>
    <row r="332" customHeight="1" spans="1:28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</row>
    <row r="333" customHeight="1" spans="1:28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</row>
    <row r="334" customHeight="1" spans="1:28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</row>
    <row r="335" customHeight="1" spans="1:28">
      <c r="A335" s="50"/>
      <c r="B335" s="50"/>
      <c r="C335" s="50"/>
      <c r="D335" s="67" t="s">
        <v>62</v>
      </c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</row>
    <row r="336" customHeight="1" spans="1:28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</row>
    <row r="337" customHeight="1" spans="1:28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</row>
    <row r="338" customHeight="1" spans="1:2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</row>
    <row r="339" customHeight="1" spans="1:28">
      <c r="A339" s="50"/>
      <c r="B339" s="50"/>
      <c r="C339" s="50" t="s">
        <v>59</v>
      </c>
      <c r="D339" s="68" t="s">
        <v>62</v>
      </c>
      <c r="E339" s="68" t="s">
        <v>21</v>
      </c>
      <c r="F339" s="68" t="s">
        <v>22</v>
      </c>
      <c r="G339" s="68" t="s">
        <v>23</v>
      </c>
      <c r="H339" s="68" t="s">
        <v>24</v>
      </c>
      <c r="I339" s="75" t="s">
        <v>25</v>
      </c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</row>
    <row r="340" customHeight="1" spans="1:28">
      <c r="A340" s="50"/>
      <c r="B340" s="50"/>
      <c r="C340" s="50"/>
      <c r="D340" s="68" t="s">
        <v>26</v>
      </c>
      <c r="E340" s="88">
        <v>0.5</v>
      </c>
      <c r="F340" s="88">
        <v>0.55</v>
      </c>
      <c r="G340" s="88">
        <v>0.67</v>
      </c>
      <c r="H340" s="88">
        <v>1</v>
      </c>
      <c r="I340" s="88">
        <v>0.38</v>
      </c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</row>
    <row r="341" customHeight="1" spans="1:28">
      <c r="A341" s="50"/>
      <c r="B341" s="50"/>
      <c r="C341" s="50"/>
      <c r="D341" s="68" t="s">
        <v>27</v>
      </c>
      <c r="E341" s="88">
        <v>0.8</v>
      </c>
      <c r="F341" s="88">
        <v>0.7</v>
      </c>
      <c r="G341" s="88">
        <v>0.75</v>
      </c>
      <c r="H341" s="88">
        <v>1</v>
      </c>
      <c r="I341" s="88">
        <v>0.7</v>
      </c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</row>
    <row r="342" customHeight="1" spans="1:28">
      <c r="A342" s="50"/>
      <c r="B342" s="50"/>
      <c r="C342" s="50"/>
      <c r="D342" s="68" t="s">
        <v>60</v>
      </c>
      <c r="E342" s="88">
        <v>0.56</v>
      </c>
      <c r="F342" s="88">
        <v>0.52</v>
      </c>
      <c r="G342" s="88">
        <v>0.67</v>
      </c>
      <c r="H342" s="88">
        <v>0.88</v>
      </c>
      <c r="I342" s="88">
        <v>0.34</v>
      </c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</row>
    <row r="343" customHeight="1" spans="1:28">
      <c r="A343" s="50"/>
      <c r="B343" s="50"/>
      <c r="C343" s="50"/>
      <c r="D343" s="68" t="s">
        <v>29</v>
      </c>
      <c r="E343" s="88">
        <v>0.6</v>
      </c>
      <c r="F343" s="88">
        <v>0.6</v>
      </c>
      <c r="G343" s="88">
        <v>0.25</v>
      </c>
      <c r="H343" s="88">
        <v>1</v>
      </c>
      <c r="I343" s="88">
        <v>0.52</v>
      </c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</row>
    <row r="344" customHeight="1" spans="1:28">
      <c r="A344" s="50"/>
      <c r="B344" s="50"/>
      <c r="C344" s="50"/>
      <c r="D344" s="68" t="s">
        <v>30</v>
      </c>
      <c r="E344" s="88">
        <v>0.65</v>
      </c>
      <c r="F344" s="88">
        <v>1</v>
      </c>
      <c r="G344" s="88">
        <v>0.6</v>
      </c>
      <c r="H344" s="88">
        <v>0.86</v>
      </c>
      <c r="I344" s="88">
        <v>0.95</v>
      </c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</row>
    <row r="345" customHeight="1" spans="1:28">
      <c r="A345" s="50"/>
      <c r="B345" s="50"/>
      <c r="C345" s="50"/>
      <c r="D345" s="68" t="s">
        <v>31</v>
      </c>
      <c r="E345" s="89">
        <f t="shared" ref="E345:I345" si="106">E340*E341*E342*E343*E344</f>
        <v>0.08736</v>
      </c>
      <c r="F345" s="89">
        <f t="shared" si="106"/>
        <v>0.12012</v>
      </c>
      <c r="G345" s="89">
        <f t="shared" si="106"/>
        <v>0.05050125</v>
      </c>
      <c r="H345" s="89">
        <f t="shared" si="106"/>
        <v>0.7568</v>
      </c>
      <c r="I345" s="89">
        <f t="shared" si="106"/>
        <v>0.04467736</v>
      </c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</row>
    <row r="346" customHeight="1" spans="1:28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</row>
    <row r="347" customHeight="1" spans="1:28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</row>
    <row r="348" customHeight="1" spans="1:28">
      <c r="A348" s="50"/>
      <c r="B348" s="50"/>
      <c r="C348" s="50"/>
      <c r="D348" s="68" t="s">
        <v>32</v>
      </c>
      <c r="E348" s="68" t="s">
        <v>21</v>
      </c>
      <c r="F348" s="68" t="s">
        <v>22</v>
      </c>
      <c r="G348" s="68" t="s">
        <v>23</v>
      </c>
      <c r="H348" s="68" t="s">
        <v>24</v>
      </c>
      <c r="I348" s="75" t="s">
        <v>25</v>
      </c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</row>
    <row r="349" customHeight="1" spans="1:28">
      <c r="A349" s="50"/>
      <c r="B349" s="50"/>
      <c r="C349" s="50" t="s">
        <v>10</v>
      </c>
      <c r="D349" s="58" t="s">
        <v>47</v>
      </c>
      <c r="E349" s="70">
        <v>15000</v>
      </c>
      <c r="F349" s="70">
        <v>10000</v>
      </c>
      <c r="G349" s="70">
        <v>10000</v>
      </c>
      <c r="H349" s="70">
        <v>15000</v>
      </c>
      <c r="I349" s="70">
        <v>20000</v>
      </c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</row>
    <row r="350" customHeight="1" spans="1:28">
      <c r="A350" s="50"/>
      <c r="B350" s="50"/>
      <c r="C350" s="50"/>
      <c r="D350" s="58" t="s">
        <v>35</v>
      </c>
      <c r="E350" s="70">
        <v>12500</v>
      </c>
      <c r="F350" s="70">
        <v>14000</v>
      </c>
      <c r="G350" s="70">
        <v>15000</v>
      </c>
      <c r="H350" s="70">
        <v>6000</v>
      </c>
      <c r="I350" s="70">
        <v>12000</v>
      </c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</row>
    <row r="351" customHeight="1" spans="1:28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</row>
    <row r="352" customHeight="1" spans="1:28">
      <c r="A352" s="50"/>
      <c r="B352" s="50"/>
      <c r="C352" s="50"/>
      <c r="D352" s="68" t="s">
        <v>0</v>
      </c>
      <c r="E352" s="68" t="s">
        <v>21</v>
      </c>
      <c r="F352" s="68" t="s">
        <v>22</v>
      </c>
      <c r="G352" s="68" t="s">
        <v>23</v>
      </c>
      <c r="H352" s="68" t="s">
        <v>24</v>
      </c>
      <c r="I352" s="75" t="s">
        <v>25</v>
      </c>
      <c r="J352" s="75" t="s">
        <v>33</v>
      </c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</row>
    <row r="353" customHeight="1" spans="1:28">
      <c r="A353" s="50"/>
      <c r="B353" s="50"/>
      <c r="C353" s="50" t="s">
        <v>36</v>
      </c>
      <c r="D353" s="58" t="s">
        <v>3</v>
      </c>
      <c r="E353" s="69">
        <f t="shared" ref="E353:I353" si="107">E349/E350</f>
        <v>1.2</v>
      </c>
      <c r="F353" s="69">
        <f t="shared" si="107"/>
        <v>0.714285714285714</v>
      </c>
      <c r="G353" s="69">
        <f t="shared" si="107"/>
        <v>0.666666666666667</v>
      </c>
      <c r="H353" s="69">
        <f t="shared" si="107"/>
        <v>2.5</v>
      </c>
      <c r="I353" s="69">
        <f t="shared" si="107"/>
        <v>1.66666666666667</v>
      </c>
      <c r="J353" s="86">
        <f t="shared" ref="J353:J358" si="108">SUM(E353:I353)</f>
        <v>6.74761904761905</v>
      </c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</row>
    <row r="354" customHeight="1" spans="1:28">
      <c r="A354" s="50"/>
      <c r="B354" s="50"/>
      <c r="C354" s="50" t="s">
        <v>10</v>
      </c>
      <c r="D354" s="58" t="s">
        <v>37</v>
      </c>
      <c r="E354" s="69">
        <f t="shared" ref="E354:I354" si="109">E363/E350</f>
        <v>1.84615384615385</v>
      </c>
      <c r="F354" s="69">
        <f t="shared" si="109"/>
        <v>0.714285714285714</v>
      </c>
      <c r="G354" s="69">
        <f t="shared" si="109"/>
        <v>1.11111111111111</v>
      </c>
      <c r="H354" s="69">
        <f t="shared" si="109"/>
        <v>2.90697674418605</v>
      </c>
      <c r="I354" s="69">
        <f t="shared" si="109"/>
        <v>1.75438596491228</v>
      </c>
      <c r="J354" s="86">
        <f t="shared" si="108"/>
        <v>8.332913380649</v>
      </c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</row>
    <row r="355" customHeight="1" spans="1:28">
      <c r="A355" s="50"/>
      <c r="B355" s="50"/>
      <c r="C355" s="50"/>
      <c r="D355" s="58" t="s">
        <v>38</v>
      </c>
      <c r="E355" s="69">
        <f t="shared" ref="E355:I355" si="110">E364/E350</f>
        <v>3.07692307692308</v>
      </c>
      <c r="F355" s="69">
        <f t="shared" si="110"/>
        <v>1.19047619047619</v>
      </c>
      <c r="G355" s="69">
        <f t="shared" si="110"/>
        <v>4.44444444444444</v>
      </c>
      <c r="H355" s="69">
        <f t="shared" si="110"/>
        <v>2.90697674418605</v>
      </c>
      <c r="I355" s="69">
        <f t="shared" si="110"/>
        <v>3.37381916329285</v>
      </c>
      <c r="J355" s="86">
        <f t="shared" si="108"/>
        <v>14.9926396193226</v>
      </c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</row>
    <row r="356" customHeight="1" spans="1:28">
      <c r="A356" s="50"/>
      <c r="B356" s="50"/>
      <c r="C356" s="50"/>
      <c r="D356" s="58" t="s">
        <v>39</v>
      </c>
      <c r="E356" s="69">
        <f t="shared" ref="E356:I356" si="111">E365/E350</f>
        <v>5.49450549450549</v>
      </c>
      <c r="F356" s="69">
        <f t="shared" si="111"/>
        <v>2.28937728937729</v>
      </c>
      <c r="G356" s="69">
        <f t="shared" si="111"/>
        <v>6.6334991708126</v>
      </c>
      <c r="H356" s="69">
        <f t="shared" si="111"/>
        <v>3.30338266384778</v>
      </c>
      <c r="I356" s="69">
        <f t="shared" si="111"/>
        <v>9.92299753909661</v>
      </c>
      <c r="J356" s="86">
        <f t="shared" si="108"/>
        <v>27.6437621576398</v>
      </c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</row>
    <row r="357" customHeight="1" spans="1:28">
      <c r="A357" s="50"/>
      <c r="B357" s="50"/>
      <c r="C357" s="50"/>
      <c r="D357" s="58" t="s">
        <v>40</v>
      </c>
      <c r="E357" s="69">
        <f t="shared" ref="E357:I357" si="112">E366/E350</f>
        <v>6.86813186813187</v>
      </c>
      <c r="F357" s="69">
        <f t="shared" si="112"/>
        <v>3.2705389848247</v>
      </c>
      <c r="G357" s="69">
        <f t="shared" si="112"/>
        <v>8.84466556108347</v>
      </c>
      <c r="H357" s="69">
        <f t="shared" si="112"/>
        <v>3.30338266384778</v>
      </c>
      <c r="I357" s="69">
        <f t="shared" si="112"/>
        <v>14.175710770138</v>
      </c>
      <c r="J357" s="86">
        <f t="shared" si="108"/>
        <v>36.4624298480258</v>
      </c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</row>
    <row r="358" customHeight="1" spans="1:28">
      <c r="A358" s="50"/>
      <c r="B358" s="50"/>
      <c r="C358" s="50"/>
      <c r="D358" s="58" t="s">
        <v>41</v>
      </c>
      <c r="E358" s="69">
        <f t="shared" ref="E358:I358" si="113">E357/E340</f>
        <v>13.7362637362637</v>
      </c>
      <c r="F358" s="69">
        <f t="shared" si="113"/>
        <v>5.94643451786309</v>
      </c>
      <c r="G358" s="69">
        <f t="shared" si="113"/>
        <v>13.2009933747514</v>
      </c>
      <c r="H358" s="69">
        <f t="shared" si="113"/>
        <v>3.30338266384778</v>
      </c>
      <c r="I358" s="69">
        <f t="shared" si="113"/>
        <v>37.304502026679</v>
      </c>
      <c r="J358" s="86">
        <f t="shared" si="108"/>
        <v>73.491576319405</v>
      </c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</row>
    <row r="359" customHeight="1" spans="1:28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</row>
    <row r="360" customHeight="1" spans="1:28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</row>
    <row r="361" customHeight="1" spans="1:28">
      <c r="A361" s="50"/>
      <c r="B361" s="50"/>
      <c r="C361" s="50"/>
      <c r="D361" s="68" t="s">
        <v>0</v>
      </c>
      <c r="E361" s="68" t="s">
        <v>21</v>
      </c>
      <c r="F361" s="68" t="s">
        <v>22</v>
      </c>
      <c r="G361" s="68" t="s">
        <v>23</v>
      </c>
      <c r="H361" s="68" t="s">
        <v>24</v>
      </c>
      <c r="I361" s="75" t="s">
        <v>25</v>
      </c>
      <c r="J361" s="75" t="s">
        <v>33</v>
      </c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</row>
    <row r="362" customHeight="1" spans="1:28">
      <c r="A362" s="50"/>
      <c r="B362" s="50"/>
      <c r="C362" s="50" t="s">
        <v>10</v>
      </c>
      <c r="D362" s="58" t="s">
        <v>3</v>
      </c>
      <c r="E362" s="70">
        <f t="shared" ref="E362:I362" si="114">E349</f>
        <v>15000</v>
      </c>
      <c r="F362" s="70">
        <f t="shared" si="114"/>
        <v>10000</v>
      </c>
      <c r="G362" s="70">
        <f t="shared" si="114"/>
        <v>10000</v>
      </c>
      <c r="H362" s="70">
        <f t="shared" si="114"/>
        <v>15000</v>
      </c>
      <c r="I362" s="70">
        <f t="shared" si="114"/>
        <v>20000</v>
      </c>
      <c r="J362" s="70">
        <f t="shared" ref="J362:J366" si="115">SUM(E362:I362)</f>
        <v>70000</v>
      </c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</row>
    <row r="363" customHeight="1" spans="1:28">
      <c r="A363" s="50"/>
      <c r="B363" s="50"/>
      <c r="C363" s="50"/>
      <c r="D363" s="58" t="s">
        <v>37</v>
      </c>
      <c r="E363" s="70">
        <f t="shared" ref="E363:I363" si="116">E349/E344</f>
        <v>23076.9230769231</v>
      </c>
      <c r="F363" s="70">
        <f t="shared" si="116"/>
        <v>10000</v>
      </c>
      <c r="G363" s="70">
        <f t="shared" si="116"/>
        <v>16666.6666666667</v>
      </c>
      <c r="H363" s="70">
        <f t="shared" si="116"/>
        <v>17441.8604651163</v>
      </c>
      <c r="I363" s="70">
        <f t="shared" si="116"/>
        <v>21052.6315789474</v>
      </c>
      <c r="J363" s="70">
        <f t="shared" si="115"/>
        <v>88238.0817876534</v>
      </c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</row>
    <row r="364" customHeight="1" spans="1:28">
      <c r="A364" s="50"/>
      <c r="B364" s="50"/>
      <c r="C364" s="50"/>
      <c r="D364" s="58" t="s">
        <v>38</v>
      </c>
      <c r="E364" s="70">
        <f t="shared" ref="E364:I364" si="117">E363/E343</f>
        <v>38461.5384615385</v>
      </c>
      <c r="F364" s="70">
        <f t="shared" si="117"/>
        <v>16666.6666666667</v>
      </c>
      <c r="G364" s="70">
        <f t="shared" si="117"/>
        <v>66666.6666666667</v>
      </c>
      <c r="H364" s="70">
        <f t="shared" si="117"/>
        <v>17441.8604651163</v>
      </c>
      <c r="I364" s="70">
        <f t="shared" si="117"/>
        <v>40485.8299595142</v>
      </c>
      <c r="J364" s="70">
        <f t="shared" si="115"/>
        <v>179722.562219502</v>
      </c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</row>
    <row r="365" customHeight="1" spans="1:28">
      <c r="A365" s="50"/>
      <c r="B365" s="50"/>
      <c r="C365" s="50"/>
      <c r="D365" s="58" t="s">
        <v>39</v>
      </c>
      <c r="E365" s="70">
        <f t="shared" ref="E365:I365" si="118">E364/E342</f>
        <v>68681.3186813187</v>
      </c>
      <c r="F365" s="70">
        <f t="shared" si="118"/>
        <v>32051.2820512821</v>
      </c>
      <c r="G365" s="70">
        <f t="shared" si="118"/>
        <v>99502.4875621891</v>
      </c>
      <c r="H365" s="70">
        <f t="shared" si="118"/>
        <v>19820.2959830867</v>
      </c>
      <c r="I365" s="70">
        <f t="shared" si="118"/>
        <v>119075.970469159</v>
      </c>
      <c r="J365" s="70">
        <f t="shared" si="115"/>
        <v>339131.354747036</v>
      </c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</row>
    <row r="366" customHeight="1" spans="1:28">
      <c r="A366" s="50"/>
      <c r="B366" s="50"/>
      <c r="C366" s="50"/>
      <c r="D366" s="58" t="s">
        <v>40</v>
      </c>
      <c r="E366" s="70">
        <f t="shared" ref="E366:I366" si="119">E365/E341</f>
        <v>85851.6483516483</v>
      </c>
      <c r="F366" s="70">
        <f t="shared" si="119"/>
        <v>45787.5457875458</v>
      </c>
      <c r="G366" s="70">
        <f t="shared" si="119"/>
        <v>132669.983416252</v>
      </c>
      <c r="H366" s="70">
        <f t="shared" si="119"/>
        <v>19820.2959830867</v>
      </c>
      <c r="I366" s="70">
        <f t="shared" si="119"/>
        <v>170108.529241656</v>
      </c>
      <c r="J366" s="70">
        <f t="shared" si="115"/>
        <v>454238.002780189</v>
      </c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</row>
    <row r="367" customHeight="1" spans="1:28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</row>
    <row r="368" customHeight="1" spans="1:2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</row>
    <row r="369" customHeight="1" spans="1:28">
      <c r="A369" s="50"/>
      <c r="B369" s="50"/>
      <c r="C369" s="50" t="s">
        <v>11</v>
      </c>
      <c r="D369" s="68" t="s">
        <v>32</v>
      </c>
      <c r="E369" s="68" t="s">
        <v>21</v>
      </c>
      <c r="F369" s="68" t="s">
        <v>22</v>
      </c>
      <c r="G369" s="68" t="s">
        <v>23</v>
      </c>
      <c r="H369" s="68" t="s">
        <v>24</v>
      </c>
      <c r="I369" s="75" t="s">
        <v>25</v>
      </c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</row>
    <row r="370" customHeight="1" spans="1:28">
      <c r="A370" s="50"/>
      <c r="B370" s="50"/>
      <c r="C370" s="50"/>
      <c r="D370" s="58" t="s">
        <v>48</v>
      </c>
      <c r="E370" s="70">
        <v>15000</v>
      </c>
      <c r="F370" s="70">
        <v>15000</v>
      </c>
      <c r="G370" s="70">
        <v>10000</v>
      </c>
      <c r="H370" s="70">
        <v>15000</v>
      </c>
      <c r="I370" s="70">
        <v>25000</v>
      </c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</row>
    <row r="371" customHeight="1" spans="1:28">
      <c r="A371" s="50"/>
      <c r="B371" s="50"/>
      <c r="C371" s="50"/>
      <c r="D371" s="58" t="s">
        <v>35</v>
      </c>
      <c r="E371" s="70">
        <v>12500</v>
      </c>
      <c r="F371" s="70">
        <v>14000</v>
      </c>
      <c r="G371" s="70">
        <v>15000</v>
      </c>
      <c r="H371" s="70">
        <v>6000</v>
      </c>
      <c r="I371" s="70">
        <v>12000</v>
      </c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</row>
    <row r="372" customHeight="1" spans="1:28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</row>
    <row r="373" customHeight="1" spans="1:28">
      <c r="A373" s="50"/>
      <c r="B373" s="50"/>
      <c r="C373" s="50" t="s">
        <v>36</v>
      </c>
      <c r="D373" s="68" t="s">
        <v>0</v>
      </c>
      <c r="E373" s="68" t="s">
        <v>21</v>
      </c>
      <c r="F373" s="68" t="s">
        <v>22</v>
      </c>
      <c r="G373" s="68" t="s">
        <v>23</v>
      </c>
      <c r="H373" s="68" t="s">
        <v>24</v>
      </c>
      <c r="I373" s="75" t="s">
        <v>25</v>
      </c>
      <c r="J373" s="75" t="s">
        <v>33</v>
      </c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</row>
    <row r="374" customHeight="1" spans="1:28">
      <c r="A374" s="50"/>
      <c r="B374" s="50"/>
      <c r="C374" s="50" t="s">
        <v>11</v>
      </c>
      <c r="D374" s="58" t="s">
        <v>3</v>
      </c>
      <c r="E374" s="69">
        <f t="shared" ref="E374:I374" si="120">E370/E371</f>
        <v>1.2</v>
      </c>
      <c r="F374" s="69">
        <f t="shared" si="120"/>
        <v>1.07142857142857</v>
      </c>
      <c r="G374" s="69">
        <f t="shared" si="120"/>
        <v>0.666666666666667</v>
      </c>
      <c r="H374" s="69">
        <f t="shared" si="120"/>
        <v>2.5</v>
      </c>
      <c r="I374" s="69">
        <f t="shared" si="120"/>
        <v>2.08333333333333</v>
      </c>
      <c r="J374" s="86">
        <f t="shared" ref="J374:J379" si="121">SUM(E374:I374)</f>
        <v>7.52142857142857</v>
      </c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</row>
    <row r="375" customHeight="1" spans="1:28">
      <c r="A375" s="50"/>
      <c r="B375" s="50"/>
      <c r="C375" s="50"/>
      <c r="D375" s="58" t="s">
        <v>37</v>
      </c>
      <c r="E375" s="69">
        <f t="shared" ref="E375:I375" si="122">E384/E371</f>
        <v>1.84615384615385</v>
      </c>
      <c r="F375" s="69">
        <f t="shared" si="122"/>
        <v>1.07142857142857</v>
      </c>
      <c r="G375" s="69">
        <f t="shared" si="122"/>
        <v>1.11111111111111</v>
      </c>
      <c r="H375" s="69">
        <f t="shared" si="122"/>
        <v>2.90697674418605</v>
      </c>
      <c r="I375" s="69">
        <f t="shared" si="122"/>
        <v>2.19298245614035</v>
      </c>
      <c r="J375" s="86">
        <f t="shared" si="121"/>
        <v>9.12865272901993</v>
      </c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</row>
    <row r="376" customHeight="1" spans="1:28">
      <c r="A376" s="50"/>
      <c r="B376" s="50"/>
      <c r="C376" s="50"/>
      <c r="D376" s="58" t="s">
        <v>38</v>
      </c>
      <c r="E376" s="69">
        <f t="shared" ref="E376:I376" si="123">E385/E371</f>
        <v>3.07692307692308</v>
      </c>
      <c r="F376" s="69">
        <f t="shared" si="123"/>
        <v>1.78571428571429</v>
      </c>
      <c r="G376" s="69">
        <f t="shared" si="123"/>
        <v>4.44444444444444</v>
      </c>
      <c r="H376" s="69">
        <f t="shared" si="123"/>
        <v>2.90697674418605</v>
      </c>
      <c r="I376" s="69">
        <f t="shared" si="123"/>
        <v>4.21727395411606</v>
      </c>
      <c r="J376" s="86">
        <f t="shared" si="121"/>
        <v>16.4313325053839</v>
      </c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</row>
    <row r="377" customHeight="1" spans="1:28">
      <c r="A377" s="50"/>
      <c r="B377" s="50"/>
      <c r="C377" s="50"/>
      <c r="D377" s="58" t="s">
        <v>39</v>
      </c>
      <c r="E377" s="69">
        <f t="shared" ref="E377:I377" si="124">E386/E371</f>
        <v>5.49450549450549</v>
      </c>
      <c r="F377" s="69">
        <f t="shared" si="124"/>
        <v>3.43406593406593</v>
      </c>
      <c r="G377" s="69">
        <f t="shared" si="124"/>
        <v>6.6334991708126</v>
      </c>
      <c r="H377" s="69">
        <f t="shared" si="124"/>
        <v>3.30338266384778</v>
      </c>
      <c r="I377" s="69">
        <f t="shared" si="124"/>
        <v>12.4037469238708</v>
      </c>
      <c r="J377" s="86">
        <f t="shared" si="121"/>
        <v>31.2692001871026</v>
      </c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</row>
    <row r="378" customHeight="1" spans="1:28">
      <c r="A378" s="50"/>
      <c r="B378" s="50"/>
      <c r="C378" s="50"/>
      <c r="D378" s="58" t="s">
        <v>40</v>
      </c>
      <c r="E378" s="69">
        <f t="shared" ref="E378:I378" si="125">E387/E371</f>
        <v>6.86813186813187</v>
      </c>
      <c r="F378" s="69">
        <f t="shared" si="125"/>
        <v>4.90580847723705</v>
      </c>
      <c r="G378" s="69">
        <f t="shared" si="125"/>
        <v>8.84466556108347</v>
      </c>
      <c r="H378" s="69">
        <f t="shared" si="125"/>
        <v>3.30338266384778</v>
      </c>
      <c r="I378" s="69">
        <f t="shared" si="125"/>
        <v>17.7196384626725</v>
      </c>
      <c r="J378" s="86">
        <f t="shared" si="121"/>
        <v>41.6416270329727</v>
      </c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</row>
    <row r="379" customHeight="1" spans="1:28">
      <c r="A379" s="50"/>
      <c r="B379" s="50"/>
      <c r="C379" s="50"/>
      <c r="D379" s="58" t="s">
        <v>41</v>
      </c>
      <c r="E379" s="69">
        <f t="shared" ref="E379:I379" si="126">E378/E340</f>
        <v>13.7362637362637</v>
      </c>
      <c r="F379" s="69">
        <f t="shared" si="126"/>
        <v>8.91965177679463</v>
      </c>
      <c r="G379" s="69">
        <f t="shared" si="126"/>
        <v>13.2009933747514</v>
      </c>
      <c r="H379" s="69">
        <f t="shared" si="126"/>
        <v>3.30338266384778</v>
      </c>
      <c r="I379" s="69">
        <f t="shared" si="126"/>
        <v>46.6306275333487</v>
      </c>
      <c r="J379" s="86">
        <f t="shared" si="121"/>
        <v>85.7909190850063</v>
      </c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</row>
    <row r="380" customHeight="1" spans="1:28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</row>
    <row r="381" customHeight="1" spans="1:28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</row>
    <row r="382" customHeight="1" spans="1:28">
      <c r="A382" s="50"/>
      <c r="B382" s="50"/>
      <c r="C382" s="50" t="s">
        <v>42</v>
      </c>
      <c r="D382" s="68" t="s">
        <v>0</v>
      </c>
      <c r="E382" s="68" t="s">
        <v>21</v>
      </c>
      <c r="F382" s="68" t="s">
        <v>22</v>
      </c>
      <c r="G382" s="68" t="s">
        <v>23</v>
      </c>
      <c r="H382" s="68" t="s">
        <v>24</v>
      </c>
      <c r="I382" s="75" t="s">
        <v>25</v>
      </c>
      <c r="J382" s="75" t="s">
        <v>33</v>
      </c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</row>
    <row r="383" customHeight="1" spans="1:28">
      <c r="A383" s="50"/>
      <c r="B383" s="50"/>
      <c r="C383" s="50" t="s">
        <v>11</v>
      </c>
      <c r="D383" s="58" t="s">
        <v>3</v>
      </c>
      <c r="E383" s="70">
        <f t="shared" ref="E383:I383" si="127">E370</f>
        <v>15000</v>
      </c>
      <c r="F383" s="70">
        <f t="shared" si="127"/>
        <v>15000</v>
      </c>
      <c r="G383" s="70">
        <f t="shared" si="127"/>
        <v>10000</v>
      </c>
      <c r="H383" s="70">
        <f t="shared" si="127"/>
        <v>15000</v>
      </c>
      <c r="I383" s="70">
        <f t="shared" si="127"/>
        <v>25000</v>
      </c>
      <c r="J383" s="70">
        <f t="shared" ref="J383:J387" si="128">SUM(E383:I383)</f>
        <v>80000</v>
      </c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</row>
    <row r="384" customHeight="1" spans="1:28">
      <c r="A384" s="50"/>
      <c r="B384" s="50"/>
      <c r="C384" s="50"/>
      <c r="D384" s="58" t="s">
        <v>37</v>
      </c>
      <c r="E384" s="70">
        <f t="shared" ref="E384:I384" si="129">E383/E344</f>
        <v>23076.9230769231</v>
      </c>
      <c r="F384" s="70">
        <f t="shared" si="129"/>
        <v>15000</v>
      </c>
      <c r="G384" s="70">
        <f t="shared" si="129"/>
        <v>16666.6666666667</v>
      </c>
      <c r="H384" s="70">
        <f t="shared" si="129"/>
        <v>17441.8604651163</v>
      </c>
      <c r="I384" s="70">
        <f t="shared" si="129"/>
        <v>26315.7894736842</v>
      </c>
      <c r="J384" s="70">
        <f t="shared" si="128"/>
        <v>98501.2396823902</v>
      </c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</row>
    <row r="385" customHeight="1" spans="1:28">
      <c r="A385" s="50"/>
      <c r="B385" s="50"/>
      <c r="C385" s="50"/>
      <c r="D385" s="58" t="s">
        <v>38</v>
      </c>
      <c r="E385" s="70">
        <f t="shared" ref="E385:I385" si="130">E384/E343</f>
        <v>38461.5384615385</v>
      </c>
      <c r="F385" s="70">
        <f t="shared" si="130"/>
        <v>25000</v>
      </c>
      <c r="G385" s="70">
        <f t="shared" si="130"/>
        <v>66666.6666666667</v>
      </c>
      <c r="H385" s="70">
        <f t="shared" si="130"/>
        <v>17441.8604651163</v>
      </c>
      <c r="I385" s="70">
        <f t="shared" si="130"/>
        <v>50607.2874493927</v>
      </c>
      <c r="J385" s="70">
        <f t="shared" si="128"/>
        <v>198177.353042714</v>
      </c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</row>
    <row r="386" customHeight="1" spans="1:28">
      <c r="A386" s="50"/>
      <c r="B386" s="50"/>
      <c r="C386" s="50"/>
      <c r="D386" s="58" t="s">
        <v>39</v>
      </c>
      <c r="E386" s="70">
        <f t="shared" ref="E386:I386" si="131">E385/E342</f>
        <v>68681.3186813187</v>
      </c>
      <c r="F386" s="70">
        <f t="shared" si="131"/>
        <v>48076.9230769231</v>
      </c>
      <c r="G386" s="70">
        <f t="shared" si="131"/>
        <v>99502.4875621891</v>
      </c>
      <c r="H386" s="70">
        <f t="shared" si="131"/>
        <v>19820.2959830867</v>
      </c>
      <c r="I386" s="70">
        <f t="shared" si="131"/>
        <v>148844.963086449</v>
      </c>
      <c r="J386" s="70">
        <f t="shared" si="128"/>
        <v>384925.988389967</v>
      </c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</row>
    <row r="387" customHeight="1" spans="1:28">
      <c r="A387" s="50"/>
      <c r="B387" s="50"/>
      <c r="C387" s="50"/>
      <c r="D387" s="58" t="s">
        <v>40</v>
      </c>
      <c r="E387" s="70">
        <f t="shared" ref="E387:I387" si="132">E386/E341</f>
        <v>85851.6483516483</v>
      </c>
      <c r="F387" s="70">
        <f t="shared" si="132"/>
        <v>68681.3186813187</v>
      </c>
      <c r="G387" s="70">
        <f t="shared" si="132"/>
        <v>132669.983416252</v>
      </c>
      <c r="H387" s="70">
        <f t="shared" si="132"/>
        <v>19820.2959830867</v>
      </c>
      <c r="I387" s="70">
        <f t="shared" si="132"/>
        <v>212635.66155207</v>
      </c>
      <c r="J387" s="70">
        <f t="shared" si="128"/>
        <v>519658.907984376</v>
      </c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</row>
    <row r="388" customHeight="1" spans="1:2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</row>
    <row r="389" customHeight="1" spans="1:28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</row>
    <row r="390" customHeight="1" spans="1:28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</row>
    <row r="391" customHeight="1" spans="1:28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</row>
    <row r="392" customHeight="1" spans="1:28">
      <c r="A392" s="50"/>
      <c r="B392" s="50"/>
      <c r="C392" s="50" t="s">
        <v>12</v>
      </c>
      <c r="D392" s="68" t="s">
        <v>32</v>
      </c>
      <c r="E392" s="68" t="s">
        <v>21</v>
      </c>
      <c r="F392" s="68" t="s">
        <v>22</v>
      </c>
      <c r="G392" s="68" t="s">
        <v>23</v>
      </c>
      <c r="H392" s="68" t="s">
        <v>24</v>
      </c>
      <c r="I392" s="75" t="s">
        <v>25</v>
      </c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</row>
    <row r="393" customHeight="1" spans="1:28">
      <c r="A393" s="50"/>
      <c r="B393" s="50"/>
      <c r="C393" s="50"/>
      <c r="D393" s="58" t="s">
        <v>49</v>
      </c>
      <c r="E393" s="70">
        <v>15000</v>
      </c>
      <c r="F393" s="70">
        <v>15000</v>
      </c>
      <c r="G393" s="70">
        <v>15000</v>
      </c>
      <c r="H393" s="70">
        <v>20000</v>
      </c>
      <c r="I393" s="70">
        <v>25000</v>
      </c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</row>
    <row r="394" customHeight="1" spans="1:28">
      <c r="A394" s="50"/>
      <c r="B394" s="50"/>
      <c r="C394" s="50"/>
      <c r="D394" s="58" t="s">
        <v>35</v>
      </c>
      <c r="E394" s="70">
        <v>12500</v>
      </c>
      <c r="F394" s="70">
        <v>14000</v>
      </c>
      <c r="G394" s="70">
        <v>15000</v>
      </c>
      <c r="H394" s="70">
        <v>6000</v>
      </c>
      <c r="I394" s="70">
        <v>12000</v>
      </c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</row>
    <row r="395" customHeight="1" spans="1:28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</row>
    <row r="396" customHeight="1" spans="1:28">
      <c r="A396" s="50"/>
      <c r="B396" s="50"/>
      <c r="C396" s="50" t="s">
        <v>36</v>
      </c>
      <c r="D396" s="68" t="s">
        <v>0</v>
      </c>
      <c r="E396" s="68" t="s">
        <v>21</v>
      </c>
      <c r="F396" s="68" t="s">
        <v>22</v>
      </c>
      <c r="G396" s="68" t="s">
        <v>23</v>
      </c>
      <c r="H396" s="68" t="s">
        <v>24</v>
      </c>
      <c r="I396" s="75" t="s">
        <v>25</v>
      </c>
      <c r="J396" s="75" t="s">
        <v>33</v>
      </c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</row>
    <row r="397" customHeight="1" spans="1:28">
      <c r="A397" s="50"/>
      <c r="B397" s="50"/>
      <c r="C397" s="50" t="s">
        <v>12</v>
      </c>
      <c r="D397" s="58" t="s">
        <v>3</v>
      </c>
      <c r="E397" s="69">
        <f t="shared" ref="E397:I397" si="133">E393/E394</f>
        <v>1.2</v>
      </c>
      <c r="F397" s="69">
        <f t="shared" si="133"/>
        <v>1.07142857142857</v>
      </c>
      <c r="G397" s="69">
        <f t="shared" si="133"/>
        <v>1</v>
      </c>
      <c r="H397" s="69">
        <f t="shared" si="133"/>
        <v>3.33333333333333</v>
      </c>
      <c r="I397" s="69">
        <f t="shared" si="133"/>
        <v>2.08333333333333</v>
      </c>
      <c r="J397" s="86">
        <f t="shared" ref="J397:J402" si="134">SUM(E397:I397)</f>
        <v>8.68809523809524</v>
      </c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</row>
    <row r="398" customHeight="1" spans="1:28">
      <c r="A398" s="50"/>
      <c r="B398" s="50"/>
      <c r="C398" s="50"/>
      <c r="D398" s="58" t="s">
        <v>37</v>
      </c>
      <c r="E398" s="69">
        <f t="shared" ref="E398:I398" si="135">E407/E394</f>
        <v>1.84615384615385</v>
      </c>
      <c r="F398" s="69">
        <f t="shared" si="135"/>
        <v>1.07142857142857</v>
      </c>
      <c r="G398" s="69">
        <f t="shared" si="135"/>
        <v>1.66666666666667</v>
      </c>
      <c r="H398" s="69">
        <f t="shared" si="135"/>
        <v>3.87596899224806</v>
      </c>
      <c r="I398" s="69">
        <f t="shared" si="135"/>
        <v>2.19298245614035</v>
      </c>
      <c r="J398" s="86">
        <f t="shared" si="134"/>
        <v>10.6532005326375</v>
      </c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</row>
    <row r="399" customHeight="1" spans="1:28">
      <c r="A399" s="50"/>
      <c r="B399" s="50"/>
      <c r="C399" s="50"/>
      <c r="D399" s="58" t="s">
        <v>38</v>
      </c>
      <c r="E399" s="69">
        <f t="shared" ref="E399:I399" si="136">E408/E394</f>
        <v>3.07692307692308</v>
      </c>
      <c r="F399" s="69">
        <f t="shared" si="136"/>
        <v>1.78571428571429</v>
      </c>
      <c r="G399" s="69">
        <f t="shared" si="136"/>
        <v>6.66666666666667</v>
      </c>
      <c r="H399" s="69">
        <f t="shared" si="136"/>
        <v>3.87596899224806</v>
      </c>
      <c r="I399" s="69">
        <f t="shared" si="136"/>
        <v>4.21727395411606</v>
      </c>
      <c r="J399" s="86">
        <f t="shared" si="134"/>
        <v>19.6225469756682</v>
      </c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</row>
    <row r="400" customHeight="1" spans="1:28">
      <c r="A400" s="50"/>
      <c r="B400" s="50"/>
      <c r="C400" s="50"/>
      <c r="D400" s="58" t="s">
        <v>39</v>
      </c>
      <c r="E400" s="69">
        <f t="shared" ref="E400:I400" si="137">E409/E394</f>
        <v>5.49450549450549</v>
      </c>
      <c r="F400" s="69">
        <f t="shared" si="137"/>
        <v>3.43406593406593</v>
      </c>
      <c r="G400" s="69">
        <f t="shared" si="137"/>
        <v>9.9502487562189</v>
      </c>
      <c r="H400" s="69">
        <f t="shared" si="137"/>
        <v>4.40451021846371</v>
      </c>
      <c r="I400" s="69">
        <f t="shared" si="137"/>
        <v>12.4037469238708</v>
      </c>
      <c r="J400" s="86">
        <f t="shared" si="134"/>
        <v>35.6870773271248</v>
      </c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</row>
    <row r="401" customHeight="1" spans="1:28">
      <c r="A401" s="50"/>
      <c r="B401" s="50"/>
      <c r="C401" s="50"/>
      <c r="D401" s="58" t="s">
        <v>40</v>
      </c>
      <c r="E401" s="69">
        <f t="shared" ref="E401:I401" si="138">E410/E394</f>
        <v>6.86813186813187</v>
      </c>
      <c r="F401" s="69">
        <f t="shared" si="138"/>
        <v>4.90580847723705</v>
      </c>
      <c r="G401" s="69">
        <f t="shared" si="138"/>
        <v>13.2669983416252</v>
      </c>
      <c r="H401" s="69">
        <f t="shared" si="138"/>
        <v>4.40451021846371</v>
      </c>
      <c r="I401" s="69">
        <f t="shared" si="138"/>
        <v>17.7196384626725</v>
      </c>
      <c r="J401" s="86">
        <f t="shared" si="134"/>
        <v>47.1650873681303</v>
      </c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</row>
    <row r="402" customHeight="1" spans="1:28">
      <c r="A402" s="50"/>
      <c r="B402" s="50"/>
      <c r="C402" s="50"/>
      <c r="D402" s="58" t="s">
        <v>41</v>
      </c>
      <c r="E402" s="69">
        <f t="shared" ref="E402:I402" si="139">E401/E340</f>
        <v>13.7362637362637</v>
      </c>
      <c r="F402" s="69">
        <f t="shared" si="139"/>
        <v>8.91965177679463</v>
      </c>
      <c r="G402" s="69">
        <f t="shared" si="139"/>
        <v>19.8014900621272</v>
      </c>
      <c r="H402" s="69">
        <f t="shared" si="139"/>
        <v>4.40451021846371</v>
      </c>
      <c r="I402" s="69">
        <f t="shared" si="139"/>
        <v>46.6306275333487</v>
      </c>
      <c r="J402" s="86">
        <f t="shared" si="134"/>
        <v>93.492543326998</v>
      </c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</row>
    <row r="403" customHeight="1" spans="1:28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</row>
    <row r="404" customHeight="1" spans="1:28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</row>
    <row r="405" customHeight="1" spans="1:28">
      <c r="A405" s="50"/>
      <c r="B405" s="50"/>
      <c r="C405" s="50" t="s">
        <v>12</v>
      </c>
      <c r="D405" s="68" t="s">
        <v>0</v>
      </c>
      <c r="E405" s="68" t="s">
        <v>21</v>
      </c>
      <c r="F405" s="68" t="s">
        <v>22</v>
      </c>
      <c r="G405" s="68" t="s">
        <v>23</v>
      </c>
      <c r="H405" s="68" t="s">
        <v>24</v>
      </c>
      <c r="I405" s="75" t="s">
        <v>25</v>
      </c>
      <c r="J405" s="75" t="s">
        <v>33</v>
      </c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</row>
    <row r="406" customHeight="1" spans="1:28">
      <c r="A406" s="50"/>
      <c r="B406" s="50"/>
      <c r="C406" s="50"/>
      <c r="D406" s="58" t="s">
        <v>3</v>
      </c>
      <c r="E406" s="70">
        <f t="shared" ref="E406:I406" si="140">E393</f>
        <v>15000</v>
      </c>
      <c r="F406" s="70">
        <f t="shared" si="140"/>
        <v>15000</v>
      </c>
      <c r="G406" s="70">
        <f t="shared" si="140"/>
        <v>15000</v>
      </c>
      <c r="H406" s="70">
        <f t="shared" si="140"/>
        <v>20000</v>
      </c>
      <c r="I406" s="70">
        <f t="shared" si="140"/>
        <v>25000</v>
      </c>
      <c r="J406" s="70">
        <f t="shared" ref="J406:J410" si="141">SUM(E406:I406)</f>
        <v>90000</v>
      </c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</row>
    <row r="407" customHeight="1" spans="1:28">
      <c r="A407" s="50"/>
      <c r="B407" s="50"/>
      <c r="C407" s="50"/>
      <c r="D407" s="58" t="s">
        <v>37</v>
      </c>
      <c r="E407" s="70">
        <f t="shared" ref="E407:I407" si="142">E406/E344</f>
        <v>23076.9230769231</v>
      </c>
      <c r="F407" s="70">
        <f t="shared" si="142"/>
        <v>15000</v>
      </c>
      <c r="G407" s="70">
        <f t="shared" si="142"/>
        <v>25000</v>
      </c>
      <c r="H407" s="70">
        <f t="shared" si="142"/>
        <v>23255.8139534884</v>
      </c>
      <c r="I407" s="70">
        <f t="shared" si="142"/>
        <v>26315.7894736842</v>
      </c>
      <c r="J407" s="70">
        <f t="shared" si="141"/>
        <v>112648.526504096</v>
      </c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</row>
    <row r="408" customHeight="1" spans="1:28">
      <c r="A408" s="50"/>
      <c r="B408" s="50"/>
      <c r="C408" s="50"/>
      <c r="D408" s="58" t="s">
        <v>38</v>
      </c>
      <c r="E408" s="70">
        <f t="shared" ref="E408:I408" si="143">E407/E343</f>
        <v>38461.5384615385</v>
      </c>
      <c r="F408" s="70">
        <f t="shared" si="143"/>
        <v>25000</v>
      </c>
      <c r="G408" s="70">
        <f t="shared" si="143"/>
        <v>100000</v>
      </c>
      <c r="H408" s="70">
        <f t="shared" si="143"/>
        <v>23255.8139534884</v>
      </c>
      <c r="I408" s="70">
        <f t="shared" si="143"/>
        <v>50607.2874493927</v>
      </c>
      <c r="J408" s="70">
        <f t="shared" si="141"/>
        <v>237324.63986442</v>
      </c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</row>
    <row r="409" customHeight="1" spans="1:28">
      <c r="A409" s="50"/>
      <c r="B409" s="50"/>
      <c r="C409" s="50"/>
      <c r="D409" s="58" t="s">
        <v>39</v>
      </c>
      <c r="E409" s="70">
        <f t="shared" ref="E409:I409" si="144">E408/E342</f>
        <v>68681.3186813187</v>
      </c>
      <c r="F409" s="70">
        <f t="shared" si="144"/>
        <v>48076.9230769231</v>
      </c>
      <c r="G409" s="70">
        <f t="shared" si="144"/>
        <v>149253.731343284</v>
      </c>
      <c r="H409" s="70">
        <f t="shared" si="144"/>
        <v>26427.0613107822</v>
      </c>
      <c r="I409" s="70">
        <f t="shared" si="144"/>
        <v>148844.963086449</v>
      </c>
      <c r="J409" s="70">
        <f t="shared" si="141"/>
        <v>441283.997498757</v>
      </c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</row>
    <row r="410" customHeight="1" spans="1:28">
      <c r="A410" s="50"/>
      <c r="B410" s="50"/>
      <c r="C410" s="50"/>
      <c r="D410" s="58" t="s">
        <v>40</v>
      </c>
      <c r="E410" s="70">
        <f t="shared" ref="E410:I410" si="145">E409/E341</f>
        <v>85851.6483516483</v>
      </c>
      <c r="F410" s="70">
        <f t="shared" si="145"/>
        <v>68681.3186813187</v>
      </c>
      <c r="G410" s="70">
        <f t="shared" si="145"/>
        <v>199004.975124378</v>
      </c>
      <c r="H410" s="70">
        <f t="shared" si="145"/>
        <v>26427.0613107822</v>
      </c>
      <c r="I410" s="70">
        <f t="shared" si="145"/>
        <v>212635.66155207</v>
      </c>
      <c r="J410" s="70">
        <f t="shared" si="141"/>
        <v>592600.665020198</v>
      </c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</row>
    <row r="411" customHeight="1" spans="1:28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</row>
    <row r="412" customHeight="1" spans="1:28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</row>
    <row r="413" customHeight="1" spans="1:28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</row>
    <row r="414" customHeight="1" spans="1:28">
      <c r="A414" s="50"/>
      <c r="B414" s="50"/>
      <c r="C414" s="50" t="s">
        <v>13</v>
      </c>
      <c r="D414" s="68" t="s">
        <v>32</v>
      </c>
      <c r="E414" s="68" t="s">
        <v>21</v>
      </c>
      <c r="F414" s="68" t="s">
        <v>22</v>
      </c>
      <c r="G414" s="68" t="s">
        <v>23</v>
      </c>
      <c r="H414" s="68" t="s">
        <v>24</v>
      </c>
      <c r="I414" s="75" t="s">
        <v>25</v>
      </c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</row>
    <row r="415" customHeight="1" spans="1:28">
      <c r="A415" s="50"/>
      <c r="B415" s="50"/>
      <c r="C415" s="50"/>
      <c r="D415" s="58" t="s">
        <v>50</v>
      </c>
      <c r="E415" s="70">
        <v>20000</v>
      </c>
      <c r="F415" s="70">
        <v>20000</v>
      </c>
      <c r="G415" s="70">
        <v>15000</v>
      </c>
      <c r="H415" s="70">
        <v>25000</v>
      </c>
      <c r="I415" s="70">
        <v>30000</v>
      </c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</row>
    <row r="416" customHeight="1" spans="1:28">
      <c r="A416" s="50"/>
      <c r="B416" s="50"/>
      <c r="C416" s="50"/>
      <c r="D416" s="58" t="s">
        <v>35</v>
      </c>
      <c r="E416" s="70">
        <v>12500</v>
      </c>
      <c r="F416" s="70">
        <v>14000</v>
      </c>
      <c r="G416" s="70">
        <v>15000</v>
      </c>
      <c r="H416" s="70">
        <v>6000</v>
      </c>
      <c r="I416" s="70">
        <v>12000</v>
      </c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</row>
    <row r="417" customHeight="1" spans="1:28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</row>
    <row r="418" customHeight="1" spans="1:28">
      <c r="A418" s="50"/>
      <c r="B418" s="50"/>
      <c r="C418" s="50" t="s">
        <v>36</v>
      </c>
      <c r="D418" s="68" t="s">
        <v>0</v>
      </c>
      <c r="E418" s="68" t="s">
        <v>21</v>
      </c>
      <c r="F418" s="68" t="s">
        <v>22</v>
      </c>
      <c r="G418" s="68" t="s">
        <v>23</v>
      </c>
      <c r="H418" s="68" t="s">
        <v>24</v>
      </c>
      <c r="I418" s="75" t="s">
        <v>25</v>
      </c>
      <c r="J418" s="75" t="s">
        <v>33</v>
      </c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</row>
    <row r="419" customHeight="1" spans="1:28">
      <c r="A419" s="50"/>
      <c r="B419" s="50"/>
      <c r="C419" s="50" t="s">
        <v>13</v>
      </c>
      <c r="D419" s="58" t="s">
        <v>3</v>
      </c>
      <c r="E419" s="69">
        <f t="shared" ref="E419:I419" si="146">E415/E416</f>
        <v>1.6</v>
      </c>
      <c r="F419" s="69">
        <f t="shared" si="146"/>
        <v>1.42857142857143</v>
      </c>
      <c r="G419" s="69">
        <f t="shared" si="146"/>
        <v>1</v>
      </c>
      <c r="H419" s="69">
        <f t="shared" si="146"/>
        <v>4.16666666666667</v>
      </c>
      <c r="I419" s="69">
        <f t="shared" si="146"/>
        <v>2.5</v>
      </c>
      <c r="J419" s="86">
        <f t="shared" ref="J419:J424" si="147">SUM(E419:I419)</f>
        <v>10.6952380952381</v>
      </c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</row>
    <row r="420" customHeight="1" spans="1:28">
      <c r="A420" s="50"/>
      <c r="B420" s="50"/>
      <c r="C420" s="50"/>
      <c r="D420" s="58" t="s">
        <v>37</v>
      </c>
      <c r="E420" s="69">
        <f t="shared" ref="E420:I420" si="148">E429/E416</f>
        <v>2.46153846153846</v>
      </c>
      <c r="F420" s="69">
        <f t="shared" si="148"/>
        <v>1.42857142857143</v>
      </c>
      <c r="G420" s="69">
        <f t="shared" si="148"/>
        <v>1.66666666666667</v>
      </c>
      <c r="H420" s="69">
        <f t="shared" si="148"/>
        <v>4.84496124031008</v>
      </c>
      <c r="I420" s="69">
        <f t="shared" si="148"/>
        <v>2.63157894736842</v>
      </c>
      <c r="J420" s="86">
        <f t="shared" si="147"/>
        <v>13.0333167444551</v>
      </c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</row>
    <row r="421" customHeight="1" spans="1:28">
      <c r="A421" s="50"/>
      <c r="B421" s="50"/>
      <c r="C421" s="50"/>
      <c r="D421" s="58" t="s">
        <v>38</v>
      </c>
      <c r="E421" s="69">
        <f t="shared" ref="E421:I421" si="149">E430/E416</f>
        <v>4.1025641025641</v>
      </c>
      <c r="F421" s="69">
        <f t="shared" si="149"/>
        <v>2.38095238095238</v>
      </c>
      <c r="G421" s="69">
        <f t="shared" si="149"/>
        <v>6.66666666666667</v>
      </c>
      <c r="H421" s="69">
        <f t="shared" si="149"/>
        <v>4.84496124031008</v>
      </c>
      <c r="I421" s="69">
        <f t="shared" si="149"/>
        <v>5.06072874493927</v>
      </c>
      <c r="J421" s="86">
        <f t="shared" si="147"/>
        <v>23.0558731354325</v>
      </c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</row>
    <row r="422" customHeight="1" spans="1:28">
      <c r="A422" s="50"/>
      <c r="B422" s="50"/>
      <c r="C422" s="50"/>
      <c r="D422" s="58" t="s">
        <v>39</v>
      </c>
      <c r="E422" s="69">
        <f t="shared" ref="E422:I422" si="150">E431/E416</f>
        <v>7.32600732600732</v>
      </c>
      <c r="F422" s="69">
        <f t="shared" si="150"/>
        <v>4.57875457875458</v>
      </c>
      <c r="G422" s="69">
        <f t="shared" si="150"/>
        <v>9.9502487562189</v>
      </c>
      <c r="H422" s="69">
        <f t="shared" si="150"/>
        <v>5.50563777307963</v>
      </c>
      <c r="I422" s="69">
        <f t="shared" si="150"/>
        <v>14.8844963086449</v>
      </c>
      <c r="J422" s="86">
        <f t="shared" si="147"/>
        <v>42.2451447427054</v>
      </c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</row>
    <row r="423" customHeight="1" spans="1:28">
      <c r="A423" s="50"/>
      <c r="B423" s="50"/>
      <c r="C423" s="50"/>
      <c r="D423" s="58" t="s">
        <v>40</v>
      </c>
      <c r="E423" s="69">
        <f t="shared" ref="E423:I423" si="151">E432/E416</f>
        <v>9.15750915750916</v>
      </c>
      <c r="F423" s="69">
        <f t="shared" si="151"/>
        <v>6.5410779696494</v>
      </c>
      <c r="G423" s="69">
        <f t="shared" si="151"/>
        <v>13.2669983416252</v>
      </c>
      <c r="H423" s="69">
        <f t="shared" si="151"/>
        <v>5.50563777307963</v>
      </c>
      <c r="I423" s="69">
        <f t="shared" si="151"/>
        <v>21.263566155207</v>
      </c>
      <c r="J423" s="86">
        <f t="shared" si="147"/>
        <v>55.7347893970704</v>
      </c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</row>
    <row r="424" customHeight="1" spans="1:28">
      <c r="A424" s="50"/>
      <c r="B424" s="50"/>
      <c r="C424" s="50"/>
      <c r="D424" s="58" t="s">
        <v>41</v>
      </c>
      <c r="E424" s="69">
        <f t="shared" ref="E424:I424" si="152">E423/E340</f>
        <v>18.3150183150183</v>
      </c>
      <c r="F424" s="69">
        <f t="shared" si="152"/>
        <v>11.8928690357262</v>
      </c>
      <c r="G424" s="69">
        <f t="shared" si="152"/>
        <v>19.8014900621272</v>
      </c>
      <c r="H424" s="69">
        <f t="shared" si="152"/>
        <v>5.50563777307963</v>
      </c>
      <c r="I424" s="69">
        <f t="shared" si="152"/>
        <v>55.9567530400185</v>
      </c>
      <c r="J424" s="86">
        <f t="shared" si="147"/>
        <v>111.47176822597</v>
      </c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</row>
    <row r="425" customHeight="1" spans="1:28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</row>
    <row r="426" customHeight="1" spans="1:28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</row>
    <row r="427" customHeight="1" spans="1:28">
      <c r="A427" s="50"/>
      <c r="B427" s="50"/>
      <c r="C427" s="50" t="s">
        <v>42</v>
      </c>
      <c r="D427" s="68" t="s">
        <v>0</v>
      </c>
      <c r="E427" s="68" t="s">
        <v>21</v>
      </c>
      <c r="F427" s="68" t="s">
        <v>22</v>
      </c>
      <c r="G427" s="68" t="s">
        <v>23</v>
      </c>
      <c r="H427" s="68" t="s">
        <v>24</v>
      </c>
      <c r="I427" s="75" t="s">
        <v>25</v>
      </c>
      <c r="J427" s="75" t="s">
        <v>33</v>
      </c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</row>
    <row r="428" customHeight="1" spans="1:28">
      <c r="A428" s="50"/>
      <c r="B428" s="50"/>
      <c r="C428" s="50" t="s">
        <v>13</v>
      </c>
      <c r="D428" s="58" t="s">
        <v>3</v>
      </c>
      <c r="E428" s="70">
        <f t="shared" ref="E428:I428" si="153">E415</f>
        <v>20000</v>
      </c>
      <c r="F428" s="70">
        <f t="shared" si="153"/>
        <v>20000</v>
      </c>
      <c r="G428" s="70">
        <f t="shared" si="153"/>
        <v>15000</v>
      </c>
      <c r="H428" s="70">
        <f t="shared" si="153"/>
        <v>25000</v>
      </c>
      <c r="I428" s="70">
        <f t="shared" si="153"/>
        <v>30000</v>
      </c>
      <c r="J428" s="70">
        <f t="shared" ref="J428:J432" si="154">SUM(E428:I428)</f>
        <v>110000</v>
      </c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</row>
    <row r="429" customHeight="1" spans="1:28">
      <c r="A429" s="50"/>
      <c r="B429" s="50"/>
      <c r="C429" s="50"/>
      <c r="D429" s="58" t="s">
        <v>37</v>
      </c>
      <c r="E429" s="70">
        <f t="shared" ref="E429:I429" si="155">E428/E344</f>
        <v>30769.2307692308</v>
      </c>
      <c r="F429" s="70">
        <f t="shared" si="155"/>
        <v>20000</v>
      </c>
      <c r="G429" s="70">
        <f t="shared" si="155"/>
        <v>25000</v>
      </c>
      <c r="H429" s="70">
        <f t="shared" si="155"/>
        <v>29069.7674418605</v>
      </c>
      <c r="I429" s="70">
        <f t="shared" si="155"/>
        <v>31578.9473684211</v>
      </c>
      <c r="J429" s="70">
        <f t="shared" si="154"/>
        <v>136417.945579512</v>
      </c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</row>
    <row r="430" customHeight="1" spans="1:28">
      <c r="A430" s="50"/>
      <c r="B430" s="50"/>
      <c r="C430" s="50"/>
      <c r="D430" s="58" t="s">
        <v>38</v>
      </c>
      <c r="E430" s="70">
        <f t="shared" ref="E430:I430" si="156">E429/E343</f>
        <v>51282.0512820513</v>
      </c>
      <c r="F430" s="70">
        <f t="shared" si="156"/>
        <v>33333.3333333333</v>
      </c>
      <c r="G430" s="70">
        <f t="shared" si="156"/>
        <v>100000</v>
      </c>
      <c r="H430" s="70">
        <f t="shared" si="156"/>
        <v>29069.7674418605</v>
      </c>
      <c r="I430" s="70">
        <f t="shared" si="156"/>
        <v>60728.7449392713</v>
      </c>
      <c r="J430" s="70">
        <f t="shared" si="154"/>
        <v>274413.896996516</v>
      </c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</row>
    <row r="431" customHeight="1" spans="1:28">
      <c r="A431" s="50"/>
      <c r="B431" s="50"/>
      <c r="C431" s="50"/>
      <c r="D431" s="58" t="s">
        <v>39</v>
      </c>
      <c r="E431" s="70">
        <f t="shared" ref="E431:I431" si="157">E430/E342</f>
        <v>91575.0915750916</v>
      </c>
      <c r="F431" s="70">
        <f t="shared" si="157"/>
        <v>64102.5641025641</v>
      </c>
      <c r="G431" s="70">
        <f t="shared" si="157"/>
        <v>149253.731343284</v>
      </c>
      <c r="H431" s="70">
        <f t="shared" si="157"/>
        <v>33033.8266384778</v>
      </c>
      <c r="I431" s="70">
        <f t="shared" si="157"/>
        <v>178613.955703739</v>
      </c>
      <c r="J431" s="70">
        <f t="shared" si="154"/>
        <v>516579.169363156</v>
      </c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</row>
    <row r="432" customHeight="1" spans="1:28">
      <c r="A432" s="50"/>
      <c r="B432" s="50"/>
      <c r="C432" s="50"/>
      <c r="D432" s="58" t="s">
        <v>40</v>
      </c>
      <c r="E432" s="70">
        <f t="shared" ref="E432:I432" si="158">E431/E341</f>
        <v>114468.864468864</v>
      </c>
      <c r="F432" s="70">
        <f t="shared" si="158"/>
        <v>91575.0915750916</v>
      </c>
      <c r="G432" s="70">
        <f t="shared" si="158"/>
        <v>199004.975124378</v>
      </c>
      <c r="H432" s="70">
        <f t="shared" si="158"/>
        <v>33033.8266384778</v>
      </c>
      <c r="I432" s="70">
        <f t="shared" si="158"/>
        <v>255162.793862484</v>
      </c>
      <c r="J432" s="70">
        <f t="shared" si="154"/>
        <v>693245.551669296</v>
      </c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</row>
    <row r="433" customHeight="1" spans="1:28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</row>
    <row r="434" customHeight="1" spans="1:28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</row>
    <row r="435" customHeight="1" spans="1:28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</row>
    <row r="436" customHeight="1" spans="1:28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</row>
    <row r="437" customHeight="1" spans="1:28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</row>
    <row r="438" customHeight="1" spans="1:2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</row>
    <row r="439" customHeight="1" spans="1:28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</row>
    <row r="440" customHeight="1" spans="1:28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</row>
    <row r="441" customHeight="1" spans="1:28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</row>
    <row r="442" customHeight="1" spans="1:28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</row>
    <row r="443" customHeight="1" spans="1:28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</row>
    <row r="444" customHeight="1" spans="1:28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</row>
    <row r="445" customHeight="1" spans="1:28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</row>
    <row r="446" customHeight="1" spans="1:28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</row>
    <row r="447" customHeight="1" spans="1:28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</row>
    <row r="448" customHeight="1" spans="1:2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</row>
    <row r="449" customHeight="1" spans="1:28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</row>
    <row r="450" customHeight="1" spans="1:28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</row>
    <row r="451" customHeight="1" spans="1:28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</row>
    <row r="452" customHeight="1" spans="1:28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</row>
    <row r="453" customHeight="1" spans="1:28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</row>
    <row r="454" customHeight="1" spans="1:28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</row>
    <row r="455" customHeight="1" spans="1:28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</row>
    <row r="456" customHeight="1" spans="1:28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</row>
    <row r="457" customHeight="1" spans="1:28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</row>
    <row r="458" customHeight="1" spans="1:2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</row>
    <row r="459" customHeight="1" spans="1:28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</row>
    <row r="460" customHeight="1" spans="1:28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</row>
    <row r="461" customHeight="1" spans="1:28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</row>
    <row r="462" customHeight="1" spans="1:28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</row>
    <row r="463" customHeight="1" spans="1:28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</row>
    <row r="464" customHeight="1" spans="1:28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</row>
    <row r="465" customHeight="1" spans="1:28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</row>
    <row r="466" customHeight="1" spans="1:28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</row>
    <row r="467" customHeight="1" spans="1:28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</row>
    <row r="468" customHeight="1" spans="1:2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</row>
    <row r="469" customHeight="1" spans="1:28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</row>
    <row r="470" customHeight="1" spans="1:28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</row>
    <row r="471" customHeight="1" spans="1:28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</row>
    <row r="472" customHeight="1" spans="1:28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</row>
    <row r="473" customHeight="1" spans="1:28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</row>
    <row r="474" customHeight="1" spans="1:28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</row>
    <row r="475" customHeight="1" spans="1:28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</row>
    <row r="476" customHeight="1" spans="1:28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</row>
    <row r="477" customHeight="1" spans="1:28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</row>
    <row r="478" customHeight="1" spans="1:2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</row>
    <row r="479" customHeight="1" spans="1:28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</row>
    <row r="480" customHeight="1" spans="1:28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</row>
    <row r="481" customHeight="1" spans="1:28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</row>
    <row r="482" customHeight="1" spans="1:28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</row>
    <row r="483" customHeight="1" spans="1:28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</row>
    <row r="484" customHeight="1" spans="1:28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</row>
    <row r="485" customHeight="1" spans="1:28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</row>
    <row r="486" customHeight="1" spans="1:28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</row>
    <row r="487" customHeight="1" spans="1:28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</row>
    <row r="488" customHeight="1" spans="1:2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</row>
    <row r="489" customHeight="1" spans="1:28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</row>
    <row r="490" customHeight="1" spans="1:28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</row>
    <row r="491" customHeight="1" spans="1:28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</row>
    <row r="492" customHeight="1" spans="1:28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</row>
    <row r="493" customHeight="1" spans="1:28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</row>
    <row r="494" customHeight="1" spans="1:28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</row>
    <row r="495" customHeight="1" spans="1:28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</row>
    <row r="496" customHeight="1" spans="1:28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</row>
    <row r="497" customHeight="1" spans="1:28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</row>
    <row r="498" customHeight="1" spans="1:2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</row>
    <row r="499" customHeight="1" spans="1:28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</row>
    <row r="500" customHeight="1" spans="1:28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</row>
    <row r="501" customHeight="1" spans="1:28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</row>
    <row r="502" customHeight="1" spans="1:28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</row>
    <row r="503" customHeight="1" spans="1:28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</row>
    <row r="504" customHeight="1" spans="1:28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</row>
    <row r="505" customHeight="1" spans="1:28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</row>
    <row r="506" customHeight="1" spans="1:28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</row>
    <row r="507" customHeight="1" spans="1:28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</row>
    <row r="508" customHeight="1" spans="1:2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</row>
    <row r="509" customHeight="1" spans="1:28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</row>
    <row r="510" customHeight="1" spans="1:28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</row>
    <row r="511" customHeight="1" spans="1:28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</row>
    <row r="512" customHeight="1" spans="1:28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</row>
    <row r="513" customHeight="1" spans="1:28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</row>
    <row r="514" customHeight="1" spans="1:28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</row>
    <row r="515" customHeight="1" spans="1:28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</row>
    <row r="516" customHeight="1" spans="1:28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</row>
    <row r="517" customHeight="1" spans="1:28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</row>
    <row r="518" customHeight="1" spans="1:2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</row>
    <row r="519" customHeight="1" spans="1:28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</row>
    <row r="520" customHeight="1" spans="1:28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</row>
    <row r="521" customHeight="1" spans="1:28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</row>
    <row r="522" customHeight="1" spans="1:28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</row>
    <row r="523" customHeight="1" spans="1:28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</row>
    <row r="524" customHeight="1" spans="1:28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</row>
    <row r="525" customHeight="1" spans="1:28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</row>
    <row r="526" customHeight="1" spans="1:28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</row>
    <row r="527" customHeight="1" spans="1:28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</row>
    <row r="528" customHeight="1" spans="1: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</row>
    <row r="529" customHeight="1" spans="1:28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</row>
    <row r="530" customHeight="1" spans="1:28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</row>
    <row r="531" customHeight="1" spans="1:28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</row>
    <row r="532" customHeight="1" spans="1:28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</row>
    <row r="533" customHeight="1" spans="1:28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</row>
    <row r="534" customHeight="1" spans="1:28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</row>
    <row r="535" customHeight="1" spans="1:28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</row>
    <row r="536" customHeight="1" spans="1:28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</row>
    <row r="537" customHeight="1" spans="1:28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</row>
    <row r="538" customHeight="1" spans="1:2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</row>
    <row r="539" customHeight="1" spans="1:28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</row>
    <row r="540" customHeight="1" spans="1:28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</row>
    <row r="541" customHeight="1" spans="1:28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</row>
    <row r="542" customHeight="1" spans="1:28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</row>
    <row r="543" customHeight="1" spans="1:28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</row>
    <row r="544" customHeight="1" spans="1:28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</row>
    <row r="545" customHeight="1" spans="1:28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</row>
    <row r="546" customHeight="1" spans="1:28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</row>
    <row r="547" customHeight="1" spans="1:28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</row>
    <row r="548" customHeight="1" spans="1:2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</row>
    <row r="549" customHeight="1" spans="1:28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</row>
    <row r="550" customHeight="1" spans="1:28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</row>
    <row r="551" customHeight="1" spans="1:28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</row>
    <row r="552" customHeight="1" spans="1:28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</row>
    <row r="553" customHeight="1" spans="1:28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</row>
    <row r="554" customHeight="1" spans="1:28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</row>
    <row r="555" customHeight="1" spans="1:28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</row>
    <row r="556" customHeight="1" spans="1:28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</row>
    <row r="557" customHeight="1" spans="1:28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</row>
    <row r="558" customHeight="1" spans="1:2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</row>
    <row r="559" customHeight="1" spans="1:28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</row>
    <row r="560" customHeight="1" spans="1:28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</row>
    <row r="561" customHeight="1" spans="1:28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</row>
    <row r="562" customHeight="1" spans="1:28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</row>
    <row r="563" customHeight="1" spans="1:28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</row>
    <row r="564" customHeight="1" spans="1:28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</row>
    <row r="565" customHeight="1" spans="1:28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</row>
    <row r="566" customHeight="1" spans="1:28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</row>
    <row r="567" customHeight="1" spans="1:28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</row>
    <row r="568" customHeight="1" spans="1:2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</row>
    <row r="569" customHeight="1" spans="1:28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</row>
    <row r="570" customHeight="1" spans="1:28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</row>
    <row r="571" customHeight="1" spans="1:28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</row>
    <row r="572" customHeight="1" spans="1:28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</row>
    <row r="573" customHeight="1" spans="1:28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</row>
    <row r="574" customHeight="1" spans="1:28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</row>
    <row r="575" customHeight="1" spans="1:28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</row>
    <row r="576" customHeight="1" spans="1:28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</row>
    <row r="577" customHeight="1" spans="1:28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</row>
    <row r="578" customHeight="1" spans="1:2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</row>
    <row r="579" customHeight="1" spans="1:28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</row>
    <row r="580" customHeight="1" spans="1:28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</row>
    <row r="581" customHeight="1" spans="1:28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</row>
    <row r="582" customHeight="1" spans="1:28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</row>
    <row r="583" customHeight="1" spans="1:28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</row>
    <row r="584" customHeight="1" spans="1:28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</row>
    <row r="585" customHeight="1" spans="1:28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</row>
    <row r="586" customHeight="1" spans="1:28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</row>
    <row r="587" customHeight="1" spans="1:28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</row>
    <row r="588" customHeight="1" spans="1:2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</row>
    <row r="589" customHeight="1" spans="1:28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</row>
    <row r="590" customHeight="1" spans="1:28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</row>
    <row r="591" customHeight="1" spans="1:28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</row>
    <row r="592" customHeight="1" spans="1:28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</row>
    <row r="593" customHeight="1" spans="1:28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</row>
    <row r="594" customHeight="1" spans="1:28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</row>
    <row r="595" customHeight="1" spans="1:28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</row>
    <row r="596" customHeight="1" spans="1:28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</row>
    <row r="597" customHeight="1" spans="1:28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</row>
    <row r="598" customHeight="1" spans="1:2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</row>
    <row r="599" customHeight="1" spans="1:28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</row>
    <row r="600" customHeight="1" spans="1:28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</row>
    <row r="601" customHeight="1" spans="1:28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</row>
    <row r="602" customHeight="1" spans="1:28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</row>
    <row r="603" customHeight="1" spans="1:28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</row>
    <row r="604" customHeight="1" spans="1:28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</row>
    <row r="605" customHeight="1" spans="1:28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</row>
    <row r="606" customHeight="1" spans="1:28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</row>
    <row r="607" customHeight="1" spans="1:28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</row>
    <row r="608" customHeight="1" spans="1:2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</row>
    <row r="609" customHeight="1" spans="1:28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</row>
    <row r="610" customHeight="1" spans="1:28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</row>
    <row r="611" customHeight="1" spans="1:28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</row>
    <row r="612" customHeight="1" spans="1:28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</row>
    <row r="613" customHeight="1" spans="1:28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</row>
    <row r="614" customHeight="1" spans="1:28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</row>
    <row r="615" customHeight="1" spans="1:28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</row>
    <row r="616" customHeight="1" spans="1:28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</row>
    <row r="617" customHeight="1" spans="1:28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</row>
    <row r="618" customHeight="1" spans="1:2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</row>
    <row r="619" customHeight="1" spans="1:28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</row>
    <row r="620" customHeight="1" spans="1:28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</row>
    <row r="621" customHeight="1" spans="1:28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</row>
    <row r="622" customHeight="1" spans="1:28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</row>
    <row r="623" customHeight="1" spans="1:28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</row>
    <row r="624" customHeight="1" spans="1:28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</row>
    <row r="625" customHeight="1" spans="1:28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</row>
    <row r="626" customHeight="1" spans="1:28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</row>
    <row r="627" customHeight="1" spans="1:28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</row>
    <row r="628" customHeight="1" spans="1: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</row>
    <row r="629" customHeight="1" spans="1:28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</row>
    <row r="630" customHeight="1" spans="1:28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</row>
    <row r="631" customHeight="1" spans="1:28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</row>
    <row r="632" customHeight="1" spans="1:28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</row>
    <row r="633" customHeight="1" spans="1:28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</row>
    <row r="634" customHeight="1" spans="1:28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</row>
    <row r="635" customHeight="1" spans="1:28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</row>
    <row r="636" customHeight="1" spans="1:28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</row>
    <row r="637" customHeight="1" spans="1:28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</row>
    <row r="638" customHeight="1" spans="1:2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</row>
    <row r="639" customHeight="1" spans="1:28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</row>
    <row r="640" customHeight="1" spans="1:28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</row>
    <row r="641" customHeight="1" spans="1:28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</row>
    <row r="642" customHeight="1" spans="1:28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</row>
    <row r="643" customHeight="1" spans="1:28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</row>
    <row r="644" customHeight="1" spans="1:28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</row>
    <row r="645" customHeight="1" spans="1:28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</row>
    <row r="646" customHeight="1" spans="1:28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</row>
    <row r="647" customHeight="1" spans="1:28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</row>
    <row r="648" customHeight="1" spans="1:2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</row>
    <row r="649" customHeight="1" spans="1:28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</row>
    <row r="650" customHeight="1" spans="1:28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</row>
    <row r="651" customHeight="1" spans="1:28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</row>
    <row r="652" customHeight="1" spans="1:28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</row>
    <row r="653" customHeight="1" spans="1:28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</row>
    <row r="654" customHeight="1" spans="1:28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</row>
    <row r="655" customHeight="1" spans="1:28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</row>
    <row r="656" customHeight="1" spans="1:28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</row>
    <row r="657" customHeight="1" spans="1:28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</row>
    <row r="658" customHeight="1" spans="1:2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</row>
    <row r="659" customHeight="1" spans="1:28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</row>
    <row r="660" customHeight="1" spans="1:28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</row>
    <row r="661" customHeight="1" spans="1:28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</row>
    <row r="662" customHeight="1" spans="1:28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</row>
    <row r="663" customHeight="1" spans="1:28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</row>
    <row r="664" customHeight="1" spans="1:28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</row>
    <row r="665" customHeight="1" spans="1:28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</row>
    <row r="666" customHeight="1" spans="1:28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</row>
    <row r="667" customHeight="1" spans="1:28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</row>
    <row r="668" customHeight="1" spans="1:2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</row>
    <row r="669" customHeight="1" spans="1:28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</row>
    <row r="670" customHeight="1" spans="1:28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</row>
    <row r="671" customHeight="1" spans="1:28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</row>
    <row r="672" customHeight="1" spans="1:28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</row>
    <row r="673" customHeight="1" spans="1:28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</row>
    <row r="674" customHeight="1" spans="1:28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</row>
    <row r="675" customHeight="1" spans="1:28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</row>
    <row r="676" customHeight="1" spans="1:28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</row>
    <row r="677" customHeight="1" spans="1:28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</row>
    <row r="678" customHeight="1" spans="1:2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</row>
    <row r="679" customHeight="1" spans="1:28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</row>
    <row r="680" customHeight="1" spans="1:28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</row>
    <row r="681" customHeight="1" spans="1:28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</row>
    <row r="682" customHeight="1" spans="1:28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</row>
    <row r="683" customHeight="1" spans="1:28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</row>
    <row r="684" customHeight="1" spans="1:28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</row>
    <row r="685" customHeight="1" spans="1:28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</row>
    <row r="686" customHeight="1" spans="1:28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</row>
    <row r="687" customHeight="1" spans="1:28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</row>
    <row r="688" customHeight="1" spans="1:2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</row>
    <row r="689" customHeight="1" spans="1:28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</row>
    <row r="690" customHeight="1" spans="1:28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</row>
    <row r="691" customHeight="1" spans="1:28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</row>
    <row r="692" customHeight="1" spans="1:28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</row>
    <row r="693" customHeight="1" spans="1:28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</row>
    <row r="694" customHeight="1" spans="1:28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</row>
    <row r="695" customHeight="1" spans="1:28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</row>
    <row r="696" customHeight="1" spans="1:28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</row>
    <row r="697" customHeight="1" spans="1:28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</row>
    <row r="698" customHeight="1" spans="1:2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</row>
    <row r="699" customHeight="1" spans="1:28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</row>
    <row r="700" customHeight="1" spans="1:28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</row>
    <row r="701" customHeight="1" spans="1:28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</row>
    <row r="702" customHeight="1" spans="1:28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</row>
    <row r="703" customHeight="1" spans="1:28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</row>
    <row r="704" customHeight="1" spans="1:28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</row>
    <row r="705" customHeight="1" spans="1:28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</row>
    <row r="706" customHeight="1" spans="1:28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</row>
    <row r="707" customHeight="1" spans="1:28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</row>
    <row r="708" customHeight="1" spans="1:2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</row>
    <row r="709" customHeight="1" spans="1:28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</row>
    <row r="710" customHeight="1" spans="1:28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</row>
    <row r="711" customHeight="1" spans="1:28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</row>
    <row r="712" customHeight="1" spans="1:28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</row>
    <row r="713" customHeight="1" spans="1:28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</row>
    <row r="714" customHeight="1" spans="1:28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</row>
    <row r="715" customHeight="1" spans="1:28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</row>
    <row r="716" customHeight="1" spans="1:28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</row>
    <row r="717" customHeight="1" spans="1:28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</row>
    <row r="718" customHeight="1" spans="1:2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</row>
    <row r="719" customHeight="1" spans="1:28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</row>
    <row r="720" customHeight="1" spans="1:28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</row>
    <row r="721" customHeight="1" spans="1:28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</row>
    <row r="722" customHeight="1" spans="1:28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</row>
    <row r="723" customHeight="1" spans="1:28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</row>
    <row r="724" customHeight="1" spans="1:28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</row>
    <row r="725" customHeight="1" spans="1:28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</row>
    <row r="726" customHeight="1" spans="1:28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</row>
    <row r="727" customHeight="1" spans="1:28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</row>
    <row r="728" customHeight="1" spans="1: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</row>
    <row r="729" customHeight="1" spans="1:28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</row>
    <row r="730" customHeight="1" spans="1:28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</row>
    <row r="731" customHeight="1" spans="1:28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</row>
    <row r="732" customHeight="1" spans="1:28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</row>
    <row r="733" customHeight="1" spans="1:28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</row>
    <row r="734" customHeight="1" spans="1:28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</row>
    <row r="735" customHeight="1" spans="1:28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</row>
    <row r="736" customHeight="1" spans="1:28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</row>
    <row r="737" customHeight="1" spans="1:28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</row>
    <row r="738" customHeight="1" spans="1:2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</row>
    <row r="739" customHeight="1" spans="1:28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</row>
    <row r="740" customHeight="1" spans="1:28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</row>
    <row r="741" customHeight="1" spans="1:28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</row>
    <row r="742" customHeight="1" spans="1:28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</row>
    <row r="743" customHeight="1" spans="1:28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</row>
    <row r="744" customHeight="1" spans="1:28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</row>
    <row r="745" customHeight="1" spans="1:28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</row>
    <row r="746" customHeight="1" spans="1:28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</row>
    <row r="747" customHeight="1" spans="1:28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</row>
    <row r="748" customHeight="1" spans="1:2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</row>
    <row r="749" customHeight="1" spans="1:28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</row>
    <row r="750" customHeight="1" spans="1:28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</row>
    <row r="751" customHeight="1" spans="1:28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</row>
    <row r="752" customHeight="1" spans="1:28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</row>
    <row r="753" customHeight="1" spans="1:28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</row>
    <row r="754" customHeight="1" spans="1:28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</row>
    <row r="755" customHeight="1" spans="1:28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</row>
    <row r="756" customHeight="1" spans="1:28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</row>
    <row r="757" customHeight="1" spans="1:28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</row>
    <row r="758" customHeight="1" spans="1:2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</row>
    <row r="759" customHeight="1" spans="1:28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</row>
    <row r="760" customHeight="1" spans="1:28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</row>
    <row r="761" customHeight="1" spans="1:28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</row>
    <row r="762" customHeight="1" spans="1:28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</row>
    <row r="763" customHeight="1" spans="1:28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</row>
    <row r="764" customHeight="1" spans="1:28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</row>
    <row r="765" customHeight="1" spans="1:28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</row>
    <row r="766" customHeight="1" spans="1:28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</row>
    <row r="767" customHeight="1" spans="1:28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</row>
    <row r="768" customHeight="1" spans="1:2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</row>
    <row r="769" customHeight="1" spans="1:28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</row>
    <row r="770" customHeight="1" spans="1:28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</row>
    <row r="771" customHeight="1" spans="1:28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</row>
    <row r="772" customHeight="1" spans="1:28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</row>
    <row r="773" customHeight="1" spans="1:28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</row>
    <row r="774" customHeight="1" spans="1:28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</row>
    <row r="775" customHeight="1" spans="1:28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</row>
    <row r="776" customHeight="1" spans="1:28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</row>
    <row r="777" customHeight="1" spans="1:28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</row>
    <row r="778" customHeight="1" spans="1:2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</row>
    <row r="779" customHeight="1" spans="1:28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</row>
    <row r="780" customHeight="1" spans="1:28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</row>
    <row r="781" customHeight="1" spans="1:28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</row>
    <row r="782" customHeight="1" spans="1:28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</row>
    <row r="783" customHeight="1" spans="1:28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</row>
    <row r="784" customHeight="1" spans="1:28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</row>
    <row r="785" customHeight="1" spans="1:28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</row>
    <row r="786" customHeight="1" spans="1:28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</row>
    <row r="787" customHeight="1" spans="1:28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</row>
    <row r="788" customHeight="1" spans="1:2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</row>
    <row r="789" customHeight="1" spans="1:28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</row>
    <row r="790" customHeight="1" spans="1:28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</row>
    <row r="791" customHeight="1" spans="1:28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</row>
    <row r="792" customHeight="1" spans="1:28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</row>
    <row r="793" customHeight="1" spans="1:28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</row>
    <row r="794" customHeight="1" spans="1:28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</row>
    <row r="795" customHeight="1" spans="1:28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</row>
    <row r="796" customHeight="1" spans="1:28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</row>
    <row r="797" customHeight="1" spans="1:28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</row>
    <row r="798" customHeight="1" spans="1:2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</row>
    <row r="799" customHeight="1" spans="1:28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</row>
    <row r="800" customHeight="1" spans="1:28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</row>
    <row r="801" customHeight="1" spans="1:28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</row>
    <row r="802" customHeight="1" spans="1:28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</row>
    <row r="803" customHeight="1" spans="1:28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</row>
    <row r="804" customHeight="1" spans="1:28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</row>
    <row r="805" customHeight="1" spans="1:28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</row>
    <row r="806" customHeight="1" spans="1:28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</row>
    <row r="807" customHeight="1" spans="1:28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</row>
    <row r="808" customHeight="1" spans="1:2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</row>
    <row r="809" customHeight="1" spans="1:28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</row>
    <row r="810" customHeight="1" spans="1:28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</row>
    <row r="811" customHeight="1" spans="1:28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</row>
    <row r="812" customHeight="1" spans="1:28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</row>
    <row r="813" customHeight="1" spans="1:28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</row>
    <row r="814" customHeight="1" spans="1:28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</row>
    <row r="815" customHeight="1" spans="1:28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</row>
    <row r="816" customHeight="1" spans="1:28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</row>
    <row r="817" customHeight="1" spans="1:28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</row>
    <row r="818" customHeight="1" spans="1:2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</row>
    <row r="819" customHeight="1" spans="1:28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</row>
    <row r="820" customHeight="1" spans="1:28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</row>
    <row r="821" customHeight="1" spans="1:28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</row>
    <row r="822" customHeight="1" spans="1:28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</row>
    <row r="823" customHeight="1" spans="1:28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</row>
    <row r="824" customHeight="1" spans="1:28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</row>
    <row r="825" customHeight="1" spans="1:28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</row>
    <row r="826" customHeight="1" spans="1:28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</row>
    <row r="827" customHeight="1" spans="1:28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</row>
    <row r="828" customHeight="1" spans="1: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</row>
    <row r="829" customHeight="1" spans="1:28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</row>
    <row r="830" customHeight="1" spans="1:28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</row>
    <row r="831" customHeight="1" spans="1:28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</row>
    <row r="832" customHeight="1" spans="1:28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</row>
    <row r="833" customHeight="1" spans="1:28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</row>
    <row r="834" customHeight="1" spans="1:28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</row>
    <row r="835" customHeight="1" spans="1:28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</row>
    <row r="836" customHeight="1" spans="1:28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</row>
    <row r="837" customHeight="1" spans="1:28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</row>
    <row r="838" customHeight="1" spans="1:2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</row>
    <row r="839" customHeight="1" spans="1:28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</row>
    <row r="840" customHeight="1" spans="1:28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</row>
    <row r="841" customHeight="1" spans="1:28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</row>
    <row r="842" customHeight="1" spans="1:28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</row>
    <row r="843" customHeight="1" spans="1:28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</row>
    <row r="844" customHeight="1" spans="1:28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</row>
    <row r="845" customHeight="1" spans="1:28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</row>
    <row r="846" customHeight="1" spans="1:28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</row>
    <row r="847" customHeight="1" spans="1:28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</row>
    <row r="848" customHeight="1" spans="1:2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</row>
    <row r="849" customHeight="1" spans="1:28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</row>
    <row r="850" customHeight="1" spans="1:28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</row>
    <row r="851" customHeight="1" spans="1:28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</row>
    <row r="852" customHeight="1" spans="1:28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</row>
    <row r="853" customHeight="1" spans="1:28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</row>
    <row r="854" customHeight="1" spans="1:28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</row>
    <row r="855" customHeight="1" spans="1:28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</row>
    <row r="856" customHeight="1" spans="1:28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</row>
    <row r="857" customHeight="1" spans="1:28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</row>
    <row r="858" customHeight="1" spans="1:2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</row>
    <row r="859" customHeight="1" spans="1:28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</row>
    <row r="860" customHeight="1" spans="1:28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</row>
    <row r="861" customHeight="1" spans="1:28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</row>
    <row r="862" customHeight="1" spans="1:28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</row>
    <row r="863" customHeight="1" spans="1:28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</row>
    <row r="864" customHeight="1" spans="1:28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</row>
    <row r="865" customHeight="1" spans="1:28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</row>
    <row r="866" customHeight="1" spans="1:28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</row>
    <row r="867" customHeight="1" spans="1:28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</row>
    <row r="868" customHeight="1" spans="1:2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</row>
    <row r="869" customHeight="1" spans="1:28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</row>
    <row r="870" customHeight="1" spans="1:28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</row>
    <row r="871" customHeight="1" spans="1:28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</row>
    <row r="872" customHeight="1" spans="1:28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</row>
    <row r="873" customHeight="1" spans="1:28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</row>
    <row r="874" customHeight="1" spans="1:28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</row>
    <row r="875" customHeight="1" spans="1:28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</row>
    <row r="876" customHeight="1" spans="1:28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</row>
    <row r="877" customHeight="1" spans="1:28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</row>
    <row r="878" customHeight="1" spans="1:2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</row>
    <row r="879" customHeight="1" spans="1:28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</row>
    <row r="880" customHeight="1" spans="1:28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</row>
    <row r="881" customHeight="1" spans="1:28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</row>
    <row r="882" customHeight="1" spans="1:28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</row>
    <row r="883" customHeight="1" spans="1:28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</row>
    <row r="884" customHeight="1" spans="1:28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</row>
    <row r="885" customHeight="1" spans="1:28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</row>
    <row r="886" customHeight="1" spans="1:28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</row>
    <row r="887" customHeight="1" spans="1:28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</row>
    <row r="888" customHeight="1" spans="1:2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</row>
    <row r="889" customHeight="1" spans="1:28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</row>
    <row r="890" customHeight="1" spans="1:28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</row>
    <row r="891" customHeight="1" spans="1:28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</row>
    <row r="892" customHeight="1" spans="1:28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</row>
    <row r="893" customHeight="1" spans="1:28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</row>
    <row r="894" customHeight="1" spans="1:28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</row>
    <row r="895" customHeight="1" spans="1:28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</row>
    <row r="896" customHeight="1" spans="1:28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</row>
    <row r="897" customHeight="1" spans="1:28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</row>
    <row r="898" customHeight="1" spans="1:2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</row>
    <row r="899" customHeight="1" spans="1:28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</row>
    <row r="900" customHeight="1" spans="1:28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</row>
    <row r="901" customHeight="1" spans="1:28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</row>
    <row r="902" customHeight="1" spans="1:28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</row>
    <row r="903" customHeight="1" spans="1:28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</row>
    <row r="904" customHeight="1" spans="1:28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</row>
    <row r="905" customHeight="1" spans="1:28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</row>
    <row r="906" customHeight="1" spans="1:28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</row>
    <row r="907" customHeight="1" spans="1:28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</row>
    <row r="908" customHeight="1" spans="1:2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</row>
    <row r="909" customHeight="1" spans="1:28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</row>
    <row r="910" customHeight="1" spans="1:28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</row>
    <row r="911" customHeight="1" spans="1:28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</row>
    <row r="912" customHeight="1" spans="1:28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</row>
    <row r="913" customHeight="1" spans="1:28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</row>
    <row r="914" customHeight="1" spans="1:28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</row>
    <row r="915" customHeight="1" spans="1:28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</row>
    <row r="916" customHeight="1" spans="1:28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</row>
    <row r="917" customHeight="1" spans="1:28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</row>
    <row r="918" customHeight="1" spans="1:2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</row>
    <row r="919" customHeight="1" spans="1:28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</row>
    <row r="920" customHeight="1" spans="1:28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</row>
    <row r="921" customHeight="1" spans="1:28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</row>
    <row r="922" customHeight="1" spans="1:28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</row>
    <row r="923" customHeight="1" spans="1:28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</row>
    <row r="924" customHeight="1" spans="1:28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</row>
    <row r="925" customHeight="1" spans="1:28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</row>
    <row r="926" customHeight="1" spans="1:28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</row>
    <row r="927" customHeight="1" spans="1:28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</row>
    <row r="928" customHeight="1" spans="1: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</row>
    <row r="929" customHeight="1" spans="1:28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</row>
    <row r="930" customHeight="1" spans="1:28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</row>
    <row r="931" customHeight="1" spans="1:28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</row>
    <row r="932" customHeight="1" spans="1:28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</row>
    <row r="933" customHeight="1" spans="1:28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</row>
    <row r="934" customHeight="1" spans="1:28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</row>
    <row r="935" customHeight="1" spans="1:28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</row>
    <row r="936" customHeight="1" spans="1:28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</row>
    <row r="937" customHeight="1" spans="1:28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</row>
    <row r="938" customHeight="1" spans="1:2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</row>
    <row r="939" customHeight="1" spans="1:28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</row>
    <row r="940" customHeight="1" spans="1:28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</row>
    <row r="941" customHeight="1" spans="1:28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</row>
    <row r="942" customHeight="1" spans="1:28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</row>
    <row r="943" customHeight="1" spans="1:28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</row>
    <row r="944" customHeight="1" spans="1:28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</row>
    <row r="945" customHeight="1" spans="1:28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</row>
    <row r="946" customHeight="1" spans="1:28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</row>
    <row r="947" customHeight="1" spans="1:28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</row>
    <row r="948" customHeight="1" spans="1:2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</row>
    <row r="949" customHeight="1" spans="1:28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</row>
    <row r="950" customHeight="1" spans="1:28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</row>
    <row r="951" customHeight="1" spans="1:28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</row>
    <row r="952" customHeight="1" spans="1:28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</row>
    <row r="953" customHeight="1" spans="1:28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</row>
    <row r="954" customHeight="1" spans="1:28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</row>
    <row r="955" customHeight="1" spans="1:28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</row>
    <row r="956" customHeight="1" spans="1:28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</row>
    <row r="957" customHeight="1" spans="1:28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</row>
    <row r="958" customHeight="1" spans="1:2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</row>
    <row r="959" customHeight="1" spans="1:28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</row>
    <row r="960" customHeight="1" spans="1:28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</row>
    <row r="961" customHeight="1" spans="1:28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</row>
    <row r="962" customHeight="1" spans="1:28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</row>
    <row r="963" customHeight="1" spans="1:28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</row>
    <row r="964" customHeight="1" spans="1:28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</row>
    <row r="965" customHeight="1" spans="1:28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</row>
    <row r="966" customHeight="1" spans="1:28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</row>
    <row r="967" customHeight="1" spans="1:28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</row>
    <row r="968" customHeight="1" spans="1:2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</row>
    <row r="969" customHeight="1" spans="1:28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</row>
    <row r="970" customHeight="1" spans="1:28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</row>
    <row r="971" customHeight="1" spans="1:28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</row>
    <row r="972" customHeight="1" spans="1:28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</row>
    <row r="973" customHeight="1" spans="1:28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</row>
    <row r="974" customHeight="1" spans="1:28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</row>
    <row r="975" customHeight="1" spans="1:28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</row>
    <row r="976" customHeight="1" spans="1:28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</row>
    <row r="977" customHeight="1" spans="1:28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</row>
    <row r="978" customHeight="1" spans="1:2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</row>
    <row r="979" customHeight="1" spans="1:28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</row>
    <row r="980" customHeight="1" spans="1:28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</row>
    <row r="981" customHeight="1" spans="1:28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</row>
    <row r="982" customHeight="1" spans="1:28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</row>
    <row r="983" customHeight="1" spans="1:28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</row>
    <row r="984" customHeight="1" spans="1:28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</row>
    <row r="985" customHeight="1" spans="1:28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</row>
    <row r="986" customHeight="1" spans="1:28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</row>
    <row r="987" customHeight="1" spans="1:28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</row>
    <row r="988" customHeight="1" spans="1:28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</row>
    <row r="989" customHeight="1" spans="1:28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</row>
    <row r="990" customHeight="1" spans="1:28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</row>
    <row r="991" customHeight="1" spans="1:28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</row>
    <row r="992" customHeight="1" spans="1:28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</row>
    <row r="993" customHeight="1" spans="1:28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</row>
    <row r="994" customHeight="1" spans="1:28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</row>
    <row r="995" customHeight="1" spans="1:28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</row>
    <row r="996" customHeight="1" spans="1:28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</row>
    <row r="997" customHeight="1" spans="1:28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</row>
    <row r="998" customHeight="1" spans="1:28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</row>
    <row r="999" customHeight="1" spans="1:28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</row>
    <row r="1000" customHeight="1" spans="1:28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</row>
    <row r="1001" customHeight="1" spans="1:28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</row>
    <row r="1002" customHeight="1" spans="1:28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</row>
    <row r="1003" customHeight="1" spans="1:28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</row>
    <row r="1004" customHeight="1" spans="1:28">
      <c r="A1004" s="50"/>
      <c r="B1004" s="5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50"/>
    </row>
    <row r="1005" customHeight="1" spans="1:28">
      <c r="A1005" s="50"/>
      <c r="B1005" s="50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</row>
    <row r="1006" customHeight="1" spans="1:28">
      <c r="A1006" s="50"/>
      <c r="B1006" s="5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</row>
    <row r="1007" customHeight="1" spans="1:28">
      <c r="A1007" s="50"/>
      <c r="B1007" s="50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</row>
    <row r="1008" customHeight="1" spans="1:28">
      <c r="A1008" s="50"/>
      <c r="B1008" s="50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  <c r="AA1008" s="50"/>
      <c r="AB1008" s="50"/>
    </row>
    <row r="1009" customHeight="1" spans="1:28">
      <c r="A1009" s="50"/>
      <c r="B1009" s="50"/>
      <c r="C1009" s="50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</row>
    <row r="1010" customHeight="1" spans="1:28">
      <c r="A1010" s="50"/>
      <c r="B1010" s="50"/>
      <c r="C1010" s="50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  <c r="AA1010" s="50"/>
      <c r="AB1010" s="50"/>
    </row>
    <row r="1011" customHeight="1" spans="1:28">
      <c r="A1011" s="50"/>
      <c r="B1011" s="50"/>
      <c r="C1011" s="50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</row>
    <row r="1012" customHeight="1" spans="1:28">
      <c r="A1012" s="50"/>
      <c r="B1012" s="50"/>
      <c r="C1012" s="50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50"/>
      <c r="AB1012" s="50"/>
    </row>
    <row r="1013" customHeight="1" spans="1:28">
      <c r="A1013" s="50"/>
      <c r="B1013" s="50"/>
      <c r="C1013" s="50"/>
      <c r="D1013" s="50"/>
      <c r="E1013" s="50"/>
      <c r="F1013" s="50"/>
      <c r="G1013" s="50"/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</row>
    <row r="1014" customHeight="1" spans="1:28">
      <c r="A1014" s="50"/>
      <c r="B1014" s="50"/>
      <c r="C1014" s="50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  <c r="AA1014" s="50"/>
      <c r="AB1014" s="50"/>
    </row>
    <row r="1015" customHeight="1" spans="1:28">
      <c r="A1015" s="50"/>
      <c r="B1015" s="50"/>
      <c r="C1015" s="50"/>
      <c r="D1015" s="50"/>
      <c r="E1015" s="50"/>
      <c r="F1015" s="50"/>
      <c r="G1015" s="50"/>
      <c r="H1015" s="50"/>
      <c r="I1015" s="50"/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</row>
    <row r="1016" customHeight="1" spans="1:28">
      <c r="A1016" s="50"/>
      <c r="B1016" s="50"/>
      <c r="C1016" s="50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/>
      <c r="AA1016" s="50"/>
      <c r="AB1016" s="50"/>
    </row>
    <row r="1017" customHeight="1" spans="1:28">
      <c r="A1017" s="50"/>
      <c r="B1017" s="50"/>
      <c r="C1017" s="50"/>
      <c r="D1017" s="50"/>
      <c r="E1017" s="50"/>
      <c r="F1017" s="50"/>
      <c r="G1017" s="50"/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</row>
    <row r="1018" customHeight="1" spans="1:28">
      <c r="A1018" s="50"/>
      <c r="B1018" s="50"/>
      <c r="C1018" s="50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0"/>
      <c r="AA1018" s="50"/>
      <c r="AB1018" s="50"/>
    </row>
    <row r="1019" customHeight="1" spans="1:28">
      <c r="A1019" s="50"/>
      <c r="B1019" s="50"/>
      <c r="C1019" s="50"/>
      <c r="D1019" s="50"/>
      <c r="E1019" s="50"/>
      <c r="F1019" s="50"/>
      <c r="G1019" s="50"/>
      <c r="H1019" s="50"/>
      <c r="I1019" s="50"/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  <c r="AA1019" s="50"/>
      <c r="AB1019" s="50"/>
    </row>
    <row r="1020" customHeight="1" spans="1:28">
      <c r="A1020" s="50"/>
      <c r="B1020" s="50"/>
      <c r="C1020" s="50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0"/>
      <c r="AA1020" s="50"/>
      <c r="AB1020" s="50"/>
    </row>
    <row r="1021" customHeight="1" spans="1:28">
      <c r="A1021" s="50"/>
      <c r="B1021" s="50"/>
      <c r="C1021" s="50"/>
      <c r="D1021" s="50"/>
      <c r="E1021" s="50"/>
      <c r="F1021" s="50"/>
      <c r="G1021" s="50"/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</row>
    <row r="1022" customHeight="1" spans="1:28">
      <c r="A1022" s="50"/>
      <c r="B1022" s="50"/>
      <c r="C1022" s="50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  <c r="AA1022" s="50"/>
      <c r="AB1022" s="50"/>
    </row>
    <row r="1023" customHeight="1" spans="1:28">
      <c r="A1023" s="50"/>
      <c r="B1023" s="50"/>
      <c r="C1023" s="50"/>
      <c r="D1023" s="50"/>
      <c r="E1023" s="50"/>
      <c r="F1023" s="50"/>
      <c r="G1023" s="50"/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</row>
    <row r="1024" customHeight="1" spans="1:28">
      <c r="A1024" s="50"/>
      <c r="B1024" s="50"/>
      <c r="C1024" s="50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  <c r="AA1024" s="50"/>
      <c r="AB1024" s="50"/>
    </row>
    <row r="1025" customHeight="1" spans="1:28">
      <c r="A1025" s="50"/>
      <c r="B1025" s="50"/>
      <c r="C1025" s="50"/>
      <c r="D1025" s="50"/>
      <c r="E1025" s="50"/>
      <c r="F1025" s="50"/>
      <c r="G1025" s="50"/>
      <c r="H1025" s="50"/>
      <c r="I1025" s="50"/>
      <c r="J1025" s="50"/>
      <c r="K1025" s="50"/>
      <c r="L1025" s="50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</row>
    <row r="1026" customHeight="1" spans="1:28">
      <c r="A1026" s="50"/>
      <c r="B1026" s="50"/>
      <c r="C1026" s="50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0"/>
      <c r="O1026" s="50"/>
      <c r="P1026" s="50"/>
      <c r="Q1026" s="50"/>
      <c r="R1026" s="50"/>
      <c r="S1026" s="50"/>
      <c r="T1026" s="50"/>
      <c r="U1026" s="50"/>
      <c r="V1026" s="50"/>
      <c r="W1026" s="50"/>
      <c r="X1026" s="50"/>
      <c r="Y1026" s="50"/>
      <c r="Z1026" s="50"/>
      <c r="AA1026" s="50"/>
      <c r="AB1026" s="50"/>
    </row>
    <row r="1027" customHeight="1" spans="1:28">
      <c r="A1027" s="50"/>
      <c r="B1027" s="50"/>
      <c r="C1027" s="50"/>
      <c r="D1027" s="50"/>
      <c r="E1027" s="50"/>
      <c r="F1027" s="50"/>
      <c r="G1027" s="50"/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0"/>
    </row>
    <row r="1028" customHeight="1" spans="1:28">
      <c r="A1028" s="50"/>
      <c r="B1028" s="50"/>
      <c r="C1028" s="50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  <c r="S1028" s="50"/>
      <c r="T1028" s="50"/>
      <c r="U1028" s="50"/>
      <c r="V1028" s="50"/>
      <c r="W1028" s="50"/>
      <c r="X1028" s="50"/>
      <c r="Y1028" s="50"/>
      <c r="Z1028" s="50"/>
      <c r="AA1028" s="50"/>
      <c r="AB1028" s="50"/>
    </row>
    <row r="1029" customHeight="1" spans="1:28">
      <c r="A1029" s="50"/>
      <c r="B1029" s="50"/>
      <c r="C1029" s="50"/>
      <c r="D1029" s="50"/>
      <c r="E1029" s="50"/>
      <c r="F1029" s="50"/>
      <c r="G1029" s="50"/>
      <c r="H1029" s="50"/>
      <c r="I1029" s="50"/>
      <c r="J1029" s="50"/>
      <c r="K1029" s="50"/>
      <c r="L1029" s="50"/>
      <c r="M1029" s="50"/>
      <c r="N1029" s="50"/>
      <c r="O1029" s="50"/>
      <c r="P1029" s="50"/>
      <c r="Q1029" s="50"/>
      <c r="R1029" s="50"/>
      <c r="S1029" s="50"/>
      <c r="T1029" s="50"/>
      <c r="U1029" s="50"/>
      <c r="V1029" s="50"/>
      <c r="W1029" s="50"/>
      <c r="X1029" s="50"/>
      <c r="Y1029" s="50"/>
      <c r="Z1029" s="50"/>
      <c r="AA1029" s="50"/>
      <c r="AB1029" s="50"/>
    </row>
    <row r="1030" customHeight="1" spans="1:28">
      <c r="A1030" s="50"/>
      <c r="B1030" s="50"/>
      <c r="C1030" s="50"/>
      <c r="D1030" s="50"/>
      <c r="E1030" s="50"/>
      <c r="F1030" s="50"/>
      <c r="G1030" s="50"/>
      <c r="H1030" s="50"/>
      <c r="I1030" s="50"/>
      <c r="J1030" s="50"/>
      <c r="K1030" s="50"/>
      <c r="L1030" s="50"/>
      <c r="M1030" s="50"/>
      <c r="N1030" s="50"/>
      <c r="O1030" s="50"/>
      <c r="P1030" s="50"/>
      <c r="Q1030" s="50"/>
      <c r="R1030" s="50"/>
      <c r="S1030" s="50"/>
      <c r="T1030" s="50"/>
      <c r="U1030" s="50"/>
      <c r="V1030" s="50"/>
      <c r="W1030" s="50"/>
      <c r="X1030" s="50"/>
      <c r="Y1030" s="50"/>
      <c r="Z1030" s="50"/>
      <c r="AA1030" s="50"/>
      <c r="AB1030" s="50"/>
    </row>
    <row r="1031" customHeight="1" spans="1:28">
      <c r="A1031" s="50"/>
      <c r="B1031" s="50"/>
      <c r="C1031" s="50"/>
      <c r="D1031" s="50"/>
      <c r="E1031" s="50"/>
      <c r="F1031" s="50"/>
      <c r="G1031" s="50"/>
      <c r="H1031" s="50"/>
      <c r="I1031" s="50"/>
      <c r="J1031" s="50"/>
      <c r="K1031" s="50"/>
      <c r="L1031" s="50"/>
      <c r="M1031" s="50"/>
      <c r="N1031" s="50"/>
      <c r="O1031" s="50"/>
      <c r="P1031" s="50"/>
      <c r="Q1031" s="50"/>
      <c r="R1031" s="50"/>
      <c r="S1031" s="50"/>
      <c r="T1031" s="50"/>
      <c r="U1031" s="50"/>
      <c r="V1031" s="50"/>
      <c r="W1031" s="50"/>
      <c r="X1031" s="50"/>
      <c r="Y1031" s="50"/>
      <c r="Z1031" s="50"/>
      <c r="AA1031" s="50"/>
      <c r="AB1031" s="50"/>
    </row>
    <row r="1032" customHeight="1" spans="1:28">
      <c r="A1032" s="50"/>
      <c r="B1032" s="50"/>
      <c r="C1032" s="50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  <c r="S1032" s="50"/>
      <c r="T1032" s="50"/>
      <c r="U1032" s="50"/>
      <c r="V1032" s="50"/>
      <c r="W1032" s="50"/>
      <c r="X1032" s="50"/>
      <c r="Y1032" s="50"/>
      <c r="Z1032" s="50"/>
      <c r="AA1032" s="50"/>
      <c r="AB1032" s="50"/>
    </row>
    <row r="1033" customHeight="1" spans="1:28">
      <c r="A1033" s="50"/>
      <c r="B1033" s="50"/>
      <c r="C1033" s="50"/>
      <c r="D1033" s="50"/>
      <c r="E1033" s="50"/>
      <c r="F1033" s="50"/>
      <c r="G1033" s="50"/>
      <c r="H1033" s="50"/>
      <c r="I1033" s="50"/>
      <c r="J1033" s="50"/>
      <c r="K1033" s="50"/>
      <c r="L1033" s="50"/>
      <c r="M1033" s="50"/>
      <c r="N1033" s="50"/>
      <c r="O1033" s="50"/>
      <c r="P1033" s="50"/>
      <c r="Q1033" s="50"/>
      <c r="R1033" s="50"/>
      <c r="S1033" s="50"/>
      <c r="T1033" s="50"/>
      <c r="U1033" s="50"/>
      <c r="V1033" s="50"/>
      <c r="W1033" s="50"/>
      <c r="X1033" s="50"/>
      <c r="Y1033" s="50"/>
      <c r="Z1033" s="50"/>
      <c r="AA1033" s="50"/>
      <c r="AB1033" s="50"/>
    </row>
    <row r="1034" customHeight="1" spans="1:28">
      <c r="A1034" s="50"/>
      <c r="B1034" s="50"/>
      <c r="C1034" s="50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0"/>
      <c r="O1034" s="50"/>
      <c r="P1034" s="50"/>
      <c r="Q1034" s="50"/>
      <c r="R1034" s="50"/>
      <c r="S1034" s="50"/>
      <c r="T1034" s="50"/>
      <c r="U1034" s="50"/>
      <c r="V1034" s="50"/>
      <c r="W1034" s="50"/>
      <c r="X1034" s="50"/>
      <c r="Y1034" s="50"/>
      <c r="Z1034" s="50"/>
      <c r="AA1034" s="50"/>
      <c r="AB1034" s="50"/>
    </row>
    <row r="1035" customHeight="1" spans="1:28">
      <c r="A1035" s="50"/>
      <c r="B1035" s="50"/>
      <c r="C1035" s="50"/>
      <c r="D1035" s="50"/>
      <c r="E1035" s="50"/>
      <c r="F1035" s="50"/>
      <c r="G1035" s="50"/>
      <c r="H1035" s="50"/>
      <c r="I1035" s="50"/>
      <c r="J1035" s="50"/>
      <c r="K1035" s="50"/>
      <c r="L1035" s="50"/>
      <c r="M1035" s="50"/>
      <c r="N1035" s="50"/>
      <c r="O1035" s="50"/>
      <c r="P1035" s="50"/>
      <c r="Q1035" s="50"/>
      <c r="R1035" s="50"/>
      <c r="S1035" s="50"/>
      <c r="T1035" s="50"/>
      <c r="U1035" s="50"/>
      <c r="V1035" s="50"/>
      <c r="W1035" s="50"/>
      <c r="X1035" s="50"/>
      <c r="Y1035" s="50"/>
      <c r="Z1035" s="50"/>
      <c r="AA1035" s="50"/>
      <c r="AB1035" s="50"/>
    </row>
    <row r="1036" customHeight="1" spans="1:28">
      <c r="A1036" s="50"/>
      <c r="B1036" s="50"/>
      <c r="C1036" s="50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  <c r="S1036" s="50"/>
      <c r="T1036" s="50"/>
      <c r="U1036" s="50"/>
      <c r="V1036" s="50"/>
      <c r="W1036" s="50"/>
      <c r="X1036" s="50"/>
      <c r="Y1036" s="50"/>
      <c r="Z1036" s="50"/>
      <c r="AA1036" s="50"/>
      <c r="AB1036" s="50"/>
    </row>
    <row r="1037" customHeight="1" spans="1:28">
      <c r="A1037" s="50"/>
      <c r="B1037" s="50"/>
      <c r="C1037" s="50"/>
      <c r="D1037" s="50"/>
      <c r="E1037" s="50"/>
      <c r="F1037" s="50"/>
      <c r="G1037" s="50"/>
      <c r="H1037" s="50"/>
      <c r="I1037" s="50"/>
      <c r="J1037" s="50"/>
      <c r="K1037" s="50"/>
      <c r="L1037" s="50"/>
      <c r="M1037" s="50"/>
      <c r="N1037" s="50"/>
      <c r="O1037" s="50"/>
      <c r="P1037" s="50"/>
      <c r="Q1037" s="50"/>
      <c r="R1037" s="50"/>
      <c r="S1037" s="50"/>
      <c r="T1037" s="50"/>
      <c r="U1037" s="50"/>
      <c r="V1037" s="50"/>
      <c r="W1037" s="50"/>
      <c r="X1037" s="50"/>
      <c r="Y1037" s="50"/>
      <c r="Z1037" s="50"/>
      <c r="AA1037" s="50"/>
      <c r="AB1037" s="50"/>
    </row>
    <row r="1038" customHeight="1" spans="1:28">
      <c r="A1038" s="50"/>
      <c r="B1038" s="50"/>
      <c r="C1038" s="50"/>
      <c r="D1038" s="50"/>
      <c r="E1038" s="50"/>
      <c r="F1038" s="50"/>
      <c r="G1038" s="50"/>
      <c r="H1038" s="50"/>
      <c r="I1038" s="50"/>
      <c r="J1038" s="50"/>
      <c r="K1038" s="50"/>
      <c r="L1038" s="50"/>
      <c r="M1038" s="50"/>
      <c r="N1038" s="50"/>
      <c r="O1038" s="50"/>
      <c r="P1038" s="50"/>
      <c r="Q1038" s="50"/>
      <c r="R1038" s="50"/>
      <c r="S1038" s="50"/>
      <c r="T1038" s="50"/>
      <c r="U1038" s="50"/>
      <c r="V1038" s="50"/>
      <c r="W1038" s="50"/>
      <c r="X1038" s="50"/>
      <c r="Y1038" s="50"/>
      <c r="Z1038" s="50"/>
      <c r="AA1038" s="50"/>
      <c r="AB1038" s="50"/>
    </row>
    <row r="1039" customHeight="1" spans="1:28">
      <c r="A1039" s="50"/>
      <c r="B1039" s="50"/>
      <c r="C1039" s="50"/>
      <c r="D1039" s="50"/>
      <c r="E1039" s="50"/>
      <c r="F1039" s="50"/>
      <c r="G1039" s="50"/>
      <c r="H1039" s="50"/>
      <c r="I1039" s="50"/>
      <c r="J1039" s="50"/>
      <c r="K1039" s="50"/>
      <c r="L1039" s="50"/>
      <c r="M1039" s="50"/>
      <c r="N1039" s="50"/>
      <c r="O1039" s="50"/>
      <c r="P1039" s="50"/>
      <c r="Q1039" s="50"/>
      <c r="R1039" s="50"/>
      <c r="S1039" s="50"/>
      <c r="T1039" s="50"/>
      <c r="U1039" s="50"/>
      <c r="V1039" s="50"/>
      <c r="W1039" s="50"/>
      <c r="X1039" s="50"/>
      <c r="Y1039" s="50"/>
      <c r="Z1039" s="50"/>
      <c r="AA1039" s="50"/>
      <c r="AB1039" s="50"/>
    </row>
    <row r="1040" customHeight="1" spans="1:28">
      <c r="A1040" s="50"/>
      <c r="B1040" s="50"/>
      <c r="C1040" s="50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  <c r="S1040" s="50"/>
      <c r="T1040" s="50"/>
      <c r="U1040" s="50"/>
      <c r="V1040" s="50"/>
      <c r="W1040" s="50"/>
      <c r="X1040" s="50"/>
      <c r="Y1040" s="50"/>
      <c r="Z1040" s="50"/>
      <c r="AA1040" s="50"/>
      <c r="AB1040" s="50"/>
    </row>
    <row r="1041" customHeight="1" spans="1:28">
      <c r="A1041" s="50"/>
      <c r="B1041" s="50"/>
      <c r="C1041" s="50"/>
      <c r="D1041" s="50"/>
      <c r="E1041" s="50"/>
      <c r="F1041" s="50"/>
      <c r="G1041" s="50"/>
      <c r="H1041" s="50"/>
      <c r="I1041" s="50"/>
      <c r="J1041" s="50"/>
      <c r="K1041" s="50"/>
      <c r="L1041" s="50"/>
      <c r="M1041" s="50"/>
      <c r="N1041" s="50"/>
      <c r="O1041" s="50"/>
      <c r="P1041" s="50"/>
      <c r="Q1041" s="50"/>
      <c r="R1041" s="50"/>
      <c r="S1041" s="50"/>
      <c r="T1041" s="50"/>
      <c r="U1041" s="50"/>
      <c r="V1041" s="50"/>
      <c r="W1041" s="50"/>
      <c r="X1041" s="50"/>
      <c r="Y1041" s="50"/>
      <c r="Z1041" s="50"/>
      <c r="AA1041" s="50"/>
      <c r="AB1041" s="50"/>
    </row>
    <row r="1042" customHeight="1" spans="1:28">
      <c r="A1042" s="50"/>
      <c r="B1042" s="50"/>
      <c r="C1042" s="50"/>
      <c r="D1042" s="50"/>
      <c r="E1042" s="50"/>
      <c r="F1042" s="50"/>
      <c r="G1042" s="50"/>
      <c r="H1042" s="50"/>
      <c r="I1042" s="50"/>
      <c r="J1042" s="50"/>
      <c r="K1042" s="50"/>
      <c r="L1042" s="50"/>
      <c r="M1042" s="50"/>
      <c r="N1042" s="50"/>
      <c r="O1042" s="50"/>
      <c r="P1042" s="50"/>
      <c r="Q1042" s="50"/>
      <c r="R1042" s="50"/>
      <c r="S1042" s="50"/>
      <c r="T1042" s="50"/>
      <c r="U1042" s="50"/>
      <c r="V1042" s="50"/>
      <c r="W1042" s="50"/>
      <c r="X1042" s="50"/>
      <c r="Y1042" s="50"/>
      <c r="Z1042" s="50"/>
      <c r="AA1042" s="50"/>
      <c r="AB1042" s="50"/>
    </row>
    <row r="1043" customHeight="1" spans="1:28">
      <c r="A1043" s="50"/>
      <c r="B1043" s="50"/>
      <c r="C1043" s="50"/>
      <c r="D1043" s="50"/>
      <c r="E1043" s="50"/>
      <c r="F1043" s="50"/>
      <c r="G1043" s="50"/>
      <c r="H1043" s="50"/>
      <c r="I1043" s="50"/>
      <c r="J1043" s="50"/>
      <c r="K1043" s="50"/>
      <c r="L1043" s="50"/>
      <c r="M1043" s="50"/>
      <c r="N1043" s="50"/>
      <c r="O1043" s="50"/>
      <c r="P1043" s="50"/>
      <c r="Q1043" s="50"/>
      <c r="R1043" s="50"/>
      <c r="S1043" s="50"/>
      <c r="T1043" s="50"/>
      <c r="U1043" s="50"/>
      <c r="V1043" s="50"/>
      <c r="W1043" s="50"/>
      <c r="X1043" s="50"/>
      <c r="Y1043" s="50"/>
      <c r="Z1043" s="50"/>
      <c r="AA1043" s="50"/>
      <c r="AB1043" s="50"/>
    </row>
    <row r="1044" customHeight="1" spans="1:28">
      <c r="A1044" s="50"/>
      <c r="B1044" s="50"/>
      <c r="C1044" s="50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  <c r="S1044" s="50"/>
      <c r="T1044" s="50"/>
      <c r="U1044" s="50"/>
      <c r="V1044" s="50"/>
      <c r="W1044" s="50"/>
      <c r="X1044" s="50"/>
      <c r="Y1044" s="50"/>
      <c r="Z1044" s="50"/>
      <c r="AA1044" s="50"/>
      <c r="AB1044" s="50"/>
    </row>
    <row r="1045" customHeight="1" spans="1:28">
      <c r="A1045" s="50"/>
      <c r="B1045" s="50"/>
      <c r="C1045" s="50"/>
      <c r="D1045" s="50"/>
      <c r="E1045" s="50"/>
      <c r="F1045" s="50"/>
      <c r="G1045" s="50"/>
      <c r="H1045" s="50"/>
      <c r="I1045" s="50"/>
      <c r="J1045" s="50"/>
      <c r="K1045" s="50"/>
      <c r="L1045" s="50"/>
      <c r="M1045" s="50"/>
      <c r="N1045" s="50"/>
      <c r="O1045" s="50"/>
      <c r="P1045" s="50"/>
      <c r="Q1045" s="50"/>
      <c r="R1045" s="50"/>
      <c r="S1045" s="50"/>
      <c r="T1045" s="50"/>
      <c r="U1045" s="50"/>
      <c r="V1045" s="50"/>
      <c r="W1045" s="50"/>
      <c r="X1045" s="50"/>
      <c r="Y1045" s="50"/>
      <c r="Z1045" s="50"/>
      <c r="AA1045" s="50"/>
      <c r="AB1045" s="50"/>
    </row>
    <row r="1046" customHeight="1" spans="1:28">
      <c r="A1046" s="50"/>
      <c r="B1046" s="50"/>
      <c r="C1046" s="50"/>
      <c r="D1046" s="50"/>
      <c r="E1046" s="50"/>
      <c r="F1046" s="50"/>
      <c r="G1046" s="50"/>
      <c r="H1046" s="50"/>
      <c r="I1046" s="50"/>
      <c r="J1046" s="50"/>
      <c r="K1046" s="50"/>
      <c r="L1046" s="50"/>
      <c r="M1046" s="50"/>
      <c r="N1046" s="50"/>
      <c r="O1046" s="50"/>
      <c r="P1046" s="50"/>
      <c r="Q1046" s="50"/>
      <c r="R1046" s="50"/>
      <c r="S1046" s="50"/>
      <c r="T1046" s="50"/>
      <c r="U1046" s="50"/>
      <c r="V1046" s="50"/>
      <c r="W1046" s="50"/>
      <c r="X1046" s="50"/>
      <c r="Y1046" s="50"/>
      <c r="Z1046" s="50"/>
      <c r="AA1046" s="50"/>
      <c r="AB1046" s="50"/>
    </row>
    <row r="1047" customHeight="1" spans="1:28">
      <c r="A1047" s="50"/>
      <c r="B1047" s="50"/>
      <c r="C1047" s="50"/>
      <c r="D1047" s="50"/>
      <c r="E1047" s="50"/>
      <c r="F1047" s="50"/>
      <c r="G1047" s="50"/>
      <c r="H1047" s="50"/>
      <c r="I1047" s="50"/>
      <c r="J1047" s="50"/>
      <c r="K1047" s="50"/>
      <c r="L1047" s="50"/>
      <c r="M1047" s="50"/>
      <c r="N1047" s="50"/>
      <c r="O1047" s="50"/>
      <c r="P1047" s="50"/>
      <c r="Q1047" s="50"/>
      <c r="R1047" s="50"/>
      <c r="S1047" s="50"/>
      <c r="T1047" s="50"/>
      <c r="U1047" s="50"/>
      <c r="V1047" s="50"/>
      <c r="W1047" s="50"/>
      <c r="X1047" s="50"/>
      <c r="Y1047" s="50"/>
      <c r="Z1047" s="50"/>
      <c r="AA1047" s="50"/>
      <c r="AB1047" s="50"/>
    </row>
    <row r="1048" customHeight="1" spans="1:28">
      <c r="A1048" s="50"/>
      <c r="B1048" s="50"/>
      <c r="C1048" s="50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0"/>
      <c r="AA1048" s="50"/>
      <c r="AB1048" s="50"/>
    </row>
    <row r="1049" customHeight="1" spans="1:28">
      <c r="A1049" s="50"/>
      <c r="B1049" s="50"/>
      <c r="C1049" s="50"/>
      <c r="D1049" s="50"/>
      <c r="E1049" s="50"/>
      <c r="F1049" s="50"/>
      <c r="G1049" s="50"/>
      <c r="H1049" s="50"/>
      <c r="I1049" s="50"/>
      <c r="J1049" s="50"/>
      <c r="K1049" s="50"/>
      <c r="L1049" s="50"/>
      <c r="M1049" s="50"/>
      <c r="N1049" s="50"/>
      <c r="O1049" s="50"/>
      <c r="P1049" s="50"/>
      <c r="Q1049" s="50"/>
      <c r="R1049" s="50"/>
      <c r="S1049" s="50"/>
      <c r="T1049" s="50"/>
      <c r="U1049" s="50"/>
      <c r="V1049" s="50"/>
      <c r="W1049" s="50"/>
      <c r="X1049" s="50"/>
      <c r="Y1049" s="50"/>
      <c r="Z1049" s="50"/>
      <c r="AA1049" s="50"/>
      <c r="AB1049" s="50"/>
    </row>
    <row r="1050" customHeight="1" spans="1:28">
      <c r="A1050" s="50"/>
      <c r="B1050" s="50"/>
      <c r="C1050" s="50"/>
      <c r="D1050" s="50"/>
      <c r="E1050" s="50"/>
      <c r="F1050" s="50"/>
      <c r="G1050" s="50"/>
      <c r="H1050" s="50"/>
      <c r="I1050" s="50"/>
      <c r="J1050" s="50"/>
      <c r="K1050" s="50"/>
      <c r="L1050" s="50"/>
      <c r="M1050" s="50"/>
      <c r="N1050" s="50"/>
      <c r="O1050" s="50"/>
      <c r="P1050" s="50"/>
      <c r="Q1050" s="50"/>
      <c r="R1050" s="50"/>
      <c r="S1050" s="50"/>
      <c r="T1050" s="50"/>
      <c r="U1050" s="50"/>
      <c r="V1050" s="50"/>
      <c r="W1050" s="50"/>
      <c r="X1050" s="50"/>
      <c r="Y1050" s="50"/>
      <c r="Z1050" s="50"/>
      <c r="AA1050" s="50"/>
      <c r="AB1050" s="50"/>
    </row>
    <row r="1051" customHeight="1" spans="1:28">
      <c r="A1051" s="50"/>
      <c r="B1051" s="50"/>
      <c r="C1051" s="50"/>
      <c r="D1051" s="50"/>
      <c r="E1051" s="50"/>
      <c r="F1051" s="50"/>
      <c r="G1051" s="50"/>
      <c r="H1051" s="50"/>
      <c r="I1051" s="50"/>
      <c r="J1051" s="50"/>
      <c r="K1051" s="50"/>
      <c r="L1051" s="50"/>
      <c r="M1051" s="50"/>
      <c r="N1051" s="50"/>
      <c r="O1051" s="50"/>
      <c r="P1051" s="50"/>
      <c r="Q1051" s="50"/>
      <c r="R1051" s="50"/>
      <c r="S1051" s="50"/>
      <c r="T1051" s="50"/>
      <c r="U1051" s="50"/>
      <c r="V1051" s="50"/>
      <c r="W1051" s="50"/>
      <c r="X1051" s="50"/>
      <c r="Y1051" s="50"/>
      <c r="Z1051" s="50"/>
      <c r="AA1051" s="50"/>
      <c r="AB1051" s="50"/>
    </row>
    <row r="1052" customHeight="1" spans="1:28">
      <c r="A1052" s="50"/>
      <c r="B1052" s="50"/>
      <c r="C1052" s="50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  <c r="S1052" s="50"/>
      <c r="T1052" s="50"/>
      <c r="U1052" s="50"/>
      <c r="V1052" s="50"/>
      <c r="W1052" s="50"/>
      <c r="X1052" s="50"/>
      <c r="Y1052" s="50"/>
      <c r="Z1052" s="50"/>
      <c r="AA1052" s="50"/>
      <c r="AB1052" s="50"/>
    </row>
    <row r="1053" customHeight="1" spans="1:28">
      <c r="A1053" s="50"/>
      <c r="B1053" s="50"/>
      <c r="C1053" s="50"/>
      <c r="D1053" s="50"/>
      <c r="E1053" s="50"/>
      <c r="F1053" s="50"/>
      <c r="G1053" s="50"/>
      <c r="H1053" s="50"/>
      <c r="I1053" s="50"/>
      <c r="J1053" s="50"/>
      <c r="K1053" s="50"/>
      <c r="L1053" s="50"/>
      <c r="M1053" s="50"/>
      <c r="N1053" s="50"/>
      <c r="O1053" s="50"/>
      <c r="P1053" s="50"/>
      <c r="Q1053" s="50"/>
      <c r="R1053" s="50"/>
      <c r="S1053" s="50"/>
      <c r="T1053" s="50"/>
      <c r="U1053" s="50"/>
      <c r="V1053" s="50"/>
      <c r="W1053" s="50"/>
      <c r="X1053" s="50"/>
      <c r="Y1053" s="50"/>
      <c r="Z1053" s="50"/>
      <c r="AA1053" s="50"/>
      <c r="AB1053" s="50"/>
    </row>
    <row r="1054" customHeight="1" spans="1:28">
      <c r="A1054" s="50"/>
      <c r="B1054" s="50"/>
      <c r="C1054" s="50"/>
      <c r="D1054" s="50"/>
      <c r="E1054" s="50"/>
      <c r="F1054" s="50"/>
      <c r="G1054" s="50"/>
      <c r="H1054" s="50"/>
      <c r="I1054" s="50"/>
      <c r="J1054" s="50"/>
      <c r="K1054" s="50"/>
      <c r="L1054" s="50"/>
      <c r="M1054" s="50"/>
      <c r="N1054" s="50"/>
      <c r="O1054" s="50"/>
      <c r="P1054" s="50"/>
      <c r="Q1054" s="50"/>
      <c r="R1054" s="50"/>
      <c r="S1054" s="50"/>
      <c r="T1054" s="50"/>
      <c r="U1054" s="50"/>
      <c r="V1054" s="50"/>
      <c r="W1054" s="50"/>
      <c r="X1054" s="50"/>
      <c r="Y1054" s="50"/>
      <c r="Z1054" s="50"/>
      <c r="AA1054" s="50"/>
      <c r="AB1054" s="50"/>
    </row>
    <row r="1055" customHeight="1" spans="1:28">
      <c r="A1055" s="50"/>
      <c r="B1055" s="50"/>
      <c r="C1055" s="50"/>
      <c r="D1055" s="50"/>
      <c r="E1055" s="50"/>
      <c r="F1055" s="50"/>
      <c r="G1055" s="50"/>
      <c r="H1055" s="50"/>
      <c r="I1055" s="50"/>
      <c r="J1055" s="50"/>
      <c r="K1055" s="50"/>
      <c r="L1055" s="50"/>
      <c r="M1055" s="50"/>
      <c r="N1055" s="50"/>
      <c r="O1055" s="50"/>
      <c r="P1055" s="50"/>
      <c r="Q1055" s="50"/>
      <c r="R1055" s="50"/>
      <c r="S1055" s="50"/>
      <c r="T1055" s="50"/>
      <c r="U1055" s="50"/>
      <c r="V1055" s="50"/>
      <c r="W1055" s="50"/>
      <c r="X1055" s="50"/>
      <c r="Y1055" s="50"/>
      <c r="Z1055" s="50"/>
      <c r="AA1055" s="50"/>
      <c r="AB1055" s="50"/>
    </row>
    <row r="1056" customHeight="1" spans="1:28">
      <c r="A1056" s="50"/>
      <c r="B1056" s="50"/>
      <c r="C1056" s="50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  <c r="S1056" s="50"/>
      <c r="T1056" s="50"/>
      <c r="U1056" s="50"/>
      <c r="V1056" s="50"/>
      <c r="W1056" s="50"/>
      <c r="X1056" s="50"/>
      <c r="Y1056" s="50"/>
      <c r="Z1056" s="50"/>
      <c r="AA1056" s="50"/>
      <c r="AB1056" s="50"/>
    </row>
    <row r="1057" customHeight="1" spans="1:28">
      <c r="A1057" s="50"/>
      <c r="B1057" s="50"/>
      <c r="C1057" s="50"/>
      <c r="D1057" s="50"/>
      <c r="E1057" s="50"/>
      <c r="F1057" s="50"/>
      <c r="G1057" s="50"/>
      <c r="H1057" s="50"/>
      <c r="I1057" s="50"/>
      <c r="J1057" s="50"/>
      <c r="K1057" s="50"/>
      <c r="L1057" s="50"/>
      <c r="M1057" s="50"/>
      <c r="N1057" s="50"/>
      <c r="O1057" s="50"/>
      <c r="P1057" s="50"/>
      <c r="Q1057" s="50"/>
      <c r="R1057" s="50"/>
      <c r="S1057" s="50"/>
      <c r="T1057" s="50"/>
      <c r="U1057" s="50"/>
      <c r="V1057" s="50"/>
      <c r="W1057" s="50"/>
      <c r="X1057" s="50"/>
      <c r="Y1057" s="50"/>
      <c r="Z1057" s="50"/>
      <c r="AA1057" s="50"/>
      <c r="AB1057" s="50"/>
    </row>
    <row r="1058" customHeight="1" spans="1:28">
      <c r="A1058" s="50"/>
      <c r="B1058" s="50"/>
      <c r="C1058" s="50"/>
      <c r="D1058" s="50"/>
      <c r="E1058" s="50"/>
      <c r="F1058" s="50"/>
      <c r="G1058" s="50"/>
      <c r="H1058" s="50"/>
      <c r="I1058" s="50"/>
      <c r="J1058" s="50"/>
      <c r="K1058" s="50"/>
      <c r="L1058" s="50"/>
      <c r="M1058" s="50"/>
      <c r="N1058" s="50"/>
      <c r="O1058" s="50"/>
      <c r="P1058" s="50"/>
      <c r="Q1058" s="50"/>
      <c r="R1058" s="50"/>
      <c r="S1058" s="50"/>
      <c r="T1058" s="50"/>
      <c r="U1058" s="50"/>
      <c r="V1058" s="50"/>
      <c r="W1058" s="50"/>
      <c r="X1058" s="50"/>
      <c r="Y1058" s="50"/>
      <c r="Z1058" s="50"/>
      <c r="AA1058" s="50"/>
      <c r="AB1058" s="50"/>
    </row>
    <row r="1059" customHeight="1" spans="1:28">
      <c r="A1059" s="50"/>
      <c r="B1059" s="50"/>
      <c r="C1059" s="50"/>
      <c r="D1059" s="50"/>
      <c r="E1059" s="50"/>
      <c r="F1059" s="50"/>
      <c r="G1059" s="50"/>
      <c r="H1059" s="50"/>
      <c r="I1059" s="50"/>
      <c r="J1059" s="50"/>
      <c r="K1059" s="50"/>
      <c r="L1059" s="50"/>
      <c r="M1059" s="50"/>
      <c r="N1059" s="50"/>
      <c r="O1059" s="50"/>
      <c r="P1059" s="50"/>
      <c r="Q1059" s="50"/>
      <c r="R1059" s="50"/>
      <c r="S1059" s="50"/>
      <c r="T1059" s="50"/>
      <c r="U1059" s="50"/>
      <c r="V1059" s="50"/>
      <c r="W1059" s="50"/>
      <c r="X1059" s="50"/>
      <c r="Y1059" s="50"/>
      <c r="Z1059" s="50"/>
      <c r="AA1059" s="50"/>
      <c r="AB1059" s="50"/>
    </row>
    <row r="1060" customHeight="1" spans="1:28">
      <c r="A1060" s="50"/>
      <c r="B1060" s="50"/>
      <c r="C1060" s="50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  <c r="S1060" s="50"/>
      <c r="T1060" s="50"/>
      <c r="U1060" s="50"/>
      <c r="V1060" s="50"/>
      <c r="W1060" s="50"/>
      <c r="X1060" s="50"/>
      <c r="Y1060" s="50"/>
      <c r="Z1060" s="50"/>
      <c r="AA1060" s="50"/>
      <c r="AB1060" s="50"/>
    </row>
    <row r="1061" customHeight="1" spans="1:28">
      <c r="A1061" s="50"/>
      <c r="B1061" s="50"/>
      <c r="C1061" s="50"/>
      <c r="D1061" s="50"/>
      <c r="E1061" s="50"/>
      <c r="F1061" s="50"/>
      <c r="G1061" s="50"/>
      <c r="H1061" s="50"/>
      <c r="I1061" s="50"/>
      <c r="J1061" s="50"/>
      <c r="K1061" s="50"/>
      <c r="L1061" s="50"/>
      <c r="M1061" s="50"/>
      <c r="N1061" s="50"/>
      <c r="O1061" s="50"/>
      <c r="P1061" s="50"/>
      <c r="Q1061" s="50"/>
      <c r="R1061" s="50"/>
      <c r="S1061" s="50"/>
      <c r="T1061" s="50"/>
      <c r="U1061" s="50"/>
      <c r="V1061" s="50"/>
      <c r="W1061" s="50"/>
      <c r="X1061" s="50"/>
      <c r="Y1061" s="50"/>
      <c r="Z1061" s="50"/>
      <c r="AA1061" s="50"/>
      <c r="AB1061" s="50"/>
    </row>
    <row r="1062" customHeight="1" spans="1:28">
      <c r="A1062" s="50"/>
      <c r="B1062" s="50"/>
      <c r="C1062" s="50"/>
      <c r="D1062" s="50"/>
      <c r="E1062" s="50"/>
      <c r="F1062" s="50"/>
      <c r="G1062" s="50"/>
      <c r="H1062" s="50"/>
      <c r="I1062" s="50"/>
      <c r="J1062" s="50"/>
      <c r="K1062" s="50"/>
      <c r="L1062" s="50"/>
      <c r="M1062" s="50"/>
      <c r="N1062" s="50"/>
      <c r="O1062" s="50"/>
      <c r="P1062" s="50"/>
      <c r="Q1062" s="50"/>
      <c r="R1062" s="50"/>
      <c r="S1062" s="50"/>
      <c r="T1062" s="50"/>
      <c r="U1062" s="50"/>
      <c r="V1062" s="50"/>
      <c r="W1062" s="50"/>
      <c r="X1062" s="50"/>
      <c r="Y1062" s="50"/>
      <c r="Z1062" s="50"/>
      <c r="AA1062" s="50"/>
      <c r="AB1062" s="50"/>
    </row>
    <row r="1063" customHeight="1" spans="1:28">
      <c r="A1063" s="50"/>
      <c r="B1063" s="50"/>
      <c r="C1063" s="50"/>
      <c r="D1063" s="50"/>
      <c r="E1063" s="50"/>
      <c r="F1063" s="50"/>
      <c r="G1063" s="50"/>
      <c r="H1063" s="50"/>
      <c r="I1063" s="50"/>
      <c r="J1063" s="50"/>
      <c r="K1063" s="50"/>
      <c r="L1063" s="50"/>
      <c r="M1063" s="50"/>
      <c r="N1063" s="50"/>
      <c r="O1063" s="50"/>
      <c r="P1063" s="50"/>
      <c r="Q1063" s="50"/>
      <c r="R1063" s="50"/>
      <c r="S1063" s="50"/>
      <c r="T1063" s="50"/>
      <c r="U1063" s="50"/>
      <c r="V1063" s="50"/>
      <c r="W1063" s="50"/>
      <c r="X1063" s="50"/>
      <c r="Y1063" s="50"/>
      <c r="Z1063" s="50"/>
      <c r="AA1063" s="50"/>
      <c r="AB1063" s="50"/>
    </row>
    <row r="1064" customHeight="1" spans="1:28">
      <c r="A1064" s="50"/>
      <c r="B1064" s="50"/>
      <c r="C1064" s="50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  <c r="S1064" s="50"/>
      <c r="T1064" s="50"/>
      <c r="U1064" s="50"/>
      <c r="V1064" s="50"/>
      <c r="W1064" s="50"/>
      <c r="X1064" s="50"/>
      <c r="Y1064" s="50"/>
      <c r="Z1064" s="50"/>
      <c r="AA1064" s="50"/>
      <c r="AB1064" s="50"/>
    </row>
    <row r="1065" customHeight="1" spans="1:28">
      <c r="A1065" s="50"/>
      <c r="B1065" s="50"/>
      <c r="C1065" s="50"/>
      <c r="D1065" s="50"/>
      <c r="E1065" s="50"/>
      <c r="F1065" s="50"/>
      <c r="G1065" s="50"/>
      <c r="H1065" s="50"/>
      <c r="I1065" s="50"/>
      <c r="J1065" s="50"/>
      <c r="K1065" s="50"/>
      <c r="L1065" s="50"/>
      <c r="M1065" s="50"/>
      <c r="N1065" s="50"/>
      <c r="O1065" s="50"/>
      <c r="P1065" s="50"/>
      <c r="Q1065" s="50"/>
      <c r="R1065" s="50"/>
      <c r="S1065" s="50"/>
      <c r="T1065" s="50"/>
      <c r="U1065" s="50"/>
      <c r="V1065" s="50"/>
      <c r="W1065" s="50"/>
      <c r="X1065" s="50"/>
      <c r="Y1065" s="50"/>
      <c r="Z1065" s="50"/>
      <c r="AA1065" s="50"/>
      <c r="AB1065" s="50"/>
    </row>
    <row r="1066" customHeight="1" spans="1:28">
      <c r="A1066" s="50"/>
      <c r="B1066" s="50"/>
      <c r="C1066" s="50"/>
      <c r="D1066" s="50"/>
      <c r="E1066" s="50"/>
      <c r="F1066" s="50"/>
      <c r="G1066" s="50"/>
      <c r="H1066" s="50"/>
      <c r="I1066" s="50"/>
      <c r="J1066" s="50"/>
      <c r="K1066" s="50"/>
      <c r="L1066" s="50"/>
      <c r="M1066" s="50"/>
      <c r="N1066" s="50"/>
      <c r="O1066" s="50"/>
      <c r="P1066" s="50"/>
      <c r="Q1066" s="50"/>
      <c r="R1066" s="50"/>
      <c r="S1066" s="50"/>
      <c r="T1066" s="50"/>
      <c r="U1066" s="50"/>
      <c r="V1066" s="50"/>
      <c r="W1066" s="50"/>
      <c r="X1066" s="50"/>
      <c r="Y1066" s="50"/>
      <c r="Z1066" s="50"/>
      <c r="AA1066" s="50"/>
      <c r="AB1066" s="50"/>
    </row>
    <row r="1067" customHeight="1" spans="1:28">
      <c r="A1067" s="50"/>
      <c r="B1067" s="50"/>
      <c r="C1067" s="50"/>
      <c r="D1067" s="50"/>
      <c r="E1067" s="50"/>
      <c r="F1067" s="50"/>
      <c r="G1067" s="50"/>
      <c r="H1067" s="50"/>
      <c r="I1067" s="50"/>
      <c r="J1067" s="50"/>
      <c r="K1067" s="50"/>
      <c r="L1067" s="50"/>
      <c r="M1067" s="50"/>
      <c r="N1067" s="50"/>
      <c r="O1067" s="50"/>
      <c r="P1067" s="50"/>
      <c r="Q1067" s="50"/>
      <c r="R1067" s="50"/>
      <c r="S1067" s="50"/>
      <c r="T1067" s="50"/>
      <c r="U1067" s="50"/>
      <c r="V1067" s="50"/>
      <c r="W1067" s="50"/>
      <c r="X1067" s="50"/>
      <c r="Y1067" s="50"/>
      <c r="Z1067" s="50"/>
      <c r="AA1067" s="50"/>
      <c r="AB1067" s="50"/>
    </row>
    <row r="1068" customHeight="1" spans="1:28">
      <c r="A1068" s="50"/>
      <c r="B1068" s="50"/>
      <c r="C1068" s="50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  <c r="S1068" s="50"/>
      <c r="T1068" s="50"/>
      <c r="U1068" s="50"/>
      <c r="V1068" s="50"/>
      <c r="W1068" s="50"/>
      <c r="X1068" s="50"/>
      <c r="Y1068" s="50"/>
      <c r="Z1068" s="50"/>
      <c r="AA1068" s="50"/>
      <c r="AB1068" s="50"/>
    </row>
    <row r="1069" customHeight="1" spans="1:28">
      <c r="A1069" s="50"/>
      <c r="B1069" s="50"/>
      <c r="C1069" s="50"/>
      <c r="D1069" s="50"/>
      <c r="E1069" s="50"/>
      <c r="F1069" s="50"/>
      <c r="G1069" s="50"/>
      <c r="H1069" s="50"/>
      <c r="I1069" s="50"/>
      <c r="J1069" s="50"/>
      <c r="K1069" s="50"/>
      <c r="L1069" s="50"/>
      <c r="M1069" s="50"/>
      <c r="N1069" s="50"/>
      <c r="O1069" s="50"/>
      <c r="P1069" s="50"/>
      <c r="Q1069" s="50"/>
      <c r="R1069" s="50"/>
      <c r="S1069" s="50"/>
      <c r="T1069" s="50"/>
      <c r="U1069" s="50"/>
      <c r="V1069" s="50"/>
      <c r="W1069" s="50"/>
      <c r="X1069" s="50"/>
      <c r="Y1069" s="50"/>
      <c r="Z1069" s="50"/>
      <c r="AA1069" s="50"/>
      <c r="AB1069" s="50"/>
    </row>
    <row r="1070" customHeight="1" spans="1:28">
      <c r="A1070" s="50"/>
      <c r="B1070" s="50"/>
      <c r="C1070" s="50"/>
      <c r="D1070" s="50"/>
      <c r="E1070" s="50"/>
      <c r="F1070" s="50"/>
      <c r="G1070" s="50"/>
      <c r="H1070" s="50"/>
      <c r="I1070" s="50"/>
      <c r="J1070" s="50"/>
      <c r="K1070" s="50"/>
      <c r="L1070" s="50"/>
      <c r="M1070" s="50"/>
      <c r="N1070" s="50"/>
      <c r="O1070" s="50"/>
      <c r="P1070" s="50"/>
      <c r="Q1070" s="50"/>
      <c r="R1070" s="50"/>
      <c r="S1070" s="50"/>
      <c r="T1070" s="50"/>
      <c r="U1070" s="50"/>
      <c r="V1070" s="50"/>
      <c r="W1070" s="50"/>
      <c r="X1070" s="50"/>
      <c r="Y1070" s="50"/>
      <c r="Z1070" s="50"/>
      <c r="AA1070" s="50"/>
      <c r="AB1070" s="50"/>
    </row>
    <row r="1071" customHeight="1" spans="1:28">
      <c r="A1071" s="50"/>
      <c r="B1071" s="50"/>
      <c r="C1071" s="50"/>
      <c r="D1071" s="50"/>
      <c r="E1071" s="50"/>
      <c r="F1071" s="50"/>
      <c r="G1071" s="50"/>
      <c r="H1071" s="50"/>
      <c r="I1071" s="50"/>
      <c r="J1071" s="50"/>
      <c r="K1071" s="50"/>
      <c r="L1071" s="50"/>
      <c r="M1071" s="50"/>
      <c r="N1071" s="50"/>
      <c r="O1071" s="50"/>
      <c r="P1071" s="50"/>
      <c r="Q1071" s="50"/>
      <c r="R1071" s="50"/>
      <c r="S1071" s="50"/>
      <c r="T1071" s="50"/>
      <c r="U1071" s="50"/>
      <c r="V1071" s="50"/>
      <c r="W1071" s="50"/>
      <c r="X1071" s="50"/>
      <c r="Y1071" s="50"/>
      <c r="Z1071" s="50"/>
      <c r="AA1071" s="50"/>
      <c r="AB1071" s="50"/>
    </row>
    <row r="1072" customHeight="1" spans="1:28">
      <c r="A1072" s="50"/>
      <c r="B1072" s="50"/>
      <c r="C1072" s="50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  <c r="S1072" s="50"/>
      <c r="T1072" s="50"/>
      <c r="U1072" s="50"/>
      <c r="V1072" s="50"/>
      <c r="W1072" s="50"/>
      <c r="X1072" s="50"/>
      <c r="Y1072" s="50"/>
      <c r="Z1072" s="50"/>
      <c r="AA1072" s="50"/>
      <c r="AB1072" s="50"/>
    </row>
    <row r="1073" customHeight="1" spans="1:28">
      <c r="A1073" s="50"/>
      <c r="B1073" s="50"/>
      <c r="C1073" s="50"/>
      <c r="D1073" s="50"/>
      <c r="E1073" s="50"/>
      <c r="F1073" s="50"/>
      <c r="G1073" s="50"/>
      <c r="H1073" s="50"/>
      <c r="I1073" s="50"/>
      <c r="J1073" s="50"/>
      <c r="K1073" s="50"/>
      <c r="L1073" s="50"/>
      <c r="M1073" s="50"/>
      <c r="N1073" s="50"/>
      <c r="O1073" s="50"/>
      <c r="P1073" s="50"/>
      <c r="Q1073" s="50"/>
      <c r="R1073" s="50"/>
      <c r="S1073" s="50"/>
      <c r="T1073" s="50"/>
      <c r="U1073" s="50"/>
      <c r="V1073" s="50"/>
      <c r="W1073" s="50"/>
      <c r="X1073" s="50"/>
      <c r="Y1073" s="50"/>
      <c r="Z1073" s="50"/>
      <c r="AA1073" s="50"/>
      <c r="AB1073" s="50"/>
    </row>
    <row r="1074" customHeight="1" spans="1:28">
      <c r="A1074" s="50"/>
      <c r="B1074" s="50"/>
      <c r="C1074" s="50"/>
      <c r="D1074" s="50"/>
      <c r="E1074" s="50"/>
      <c r="F1074" s="50"/>
      <c r="G1074" s="50"/>
      <c r="H1074" s="50"/>
      <c r="I1074" s="50"/>
      <c r="J1074" s="50"/>
      <c r="K1074" s="50"/>
      <c r="L1074" s="50"/>
      <c r="M1074" s="50"/>
      <c r="N1074" s="50"/>
      <c r="O1074" s="50"/>
      <c r="P1074" s="50"/>
      <c r="Q1074" s="50"/>
      <c r="R1074" s="50"/>
      <c r="S1074" s="50"/>
      <c r="T1074" s="50"/>
      <c r="U1074" s="50"/>
      <c r="V1074" s="50"/>
      <c r="W1074" s="50"/>
      <c r="X1074" s="50"/>
      <c r="Y1074" s="50"/>
      <c r="Z1074" s="50"/>
      <c r="AA1074" s="50"/>
      <c r="AB1074" s="50"/>
    </row>
    <row r="1075" customHeight="1" spans="1:28">
      <c r="A1075" s="50"/>
      <c r="B1075" s="50"/>
      <c r="C1075" s="50"/>
      <c r="D1075" s="50"/>
      <c r="E1075" s="50"/>
      <c r="F1075" s="50"/>
      <c r="G1075" s="50"/>
      <c r="H1075" s="50"/>
      <c r="I1075" s="50"/>
      <c r="J1075" s="50"/>
      <c r="K1075" s="50"/>
      <c r="L1075" s="50"/>
      <c r="M1075" s="50"/>
      <c r="N1075" s="50"/>
      <c r="O1075" s="50"/>
      <c r="P1075" s="50"/>
      <c r="Q1075" s="50"/>
      <c r="R1075" s="50"/>
      <c r="S1075" s="50"/>
      <c r="T1075" s="50"/>
      <c r="U1075" s="50"/>
      <c r="V1075" s="50"/>
      <c r="W1075" s="50"/>
      <c r="X1075" s="50"/>
      <c r="Y1075" s="50"/>
      <c r="Z1075" s="50"/>
      <c r="AA1075" s="50"/>
      <c r="AB1075" s="50"/>
    </row>
    <row r="1076" customHeight="1" spans="1:28">
      <c r="A1076" s="50"/>
      <c r="B1076" s="50"/>
      <c r="C1076" s="50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  <c r="S1076" s="50"/>
      <c r="T1076" s="50"/>
      <c r="U1076" s="50"/>
      <c r="V1076" s="50"/>
      <c r="W1076" s="50"/>
      <c r="X1076" s="50"/>
      <c r="Y1076" s="50"/>
      <c r="Z1076" s="50"/>
      <c r="AA1076" s="50"/>
      <c r="AB1076" s="50"/>
    </row>
    <row r="1077" customHeight="1" spans="1:28">
      <c r="A1077" s="50"/>
      <c r="B1077" s="50"/>
      <c r="C1077" s="50"/>
      <c r="D1077" s="50"/>
      <c r="E1077" s="50"/>
      <c r="F1077" s="50"/>
      <c r="G1077" s="50"/>
      <c r="H1077" s="50"/>
      <c r="I1077" s="50"/>
      <c r="J1077" s="50"/>
      <c r="K1077" s="50"/>
      <c r="L1077" s="50"/>
      <c r="M1077" s="50"/>
      <c r="N1077" s="50"/>
      <c r="O1077" s="50"/>
      <c r="P1077" s="50"/>
      <c r="Q1077" s="50"/>
      <c r="R1077" s="50"/>
      <c r="S1077" s="50"/>
      <c r="T1077" s="50"/>
      <c r="U1077" s="50"/>
      <c r="V1077" s="50"/>
      <c r="W1077" s="50"/>
      <c r="X1077" s="50"/>
      <c r="Y1077" s="50"/>
      <c r="Z1077" s="50"/>
      <c r="AA1077" s="50"/>
      <c r="AB1077" s="50"/>
    </row>
    <row r="1078" customHeight="1" spans="1:28">
      <c r="A1078" s="50"/>
      <c r="B1078" s="50"/>
      <c r="C1078" s="50"/>
      <c r="D1078" s="50"/>
      <c r="E1078" s="50"/>
      <c r="F1078" s="50"/>
      <c r="G1078" s="50"/>
      <c r="H1078" s="50"/>
      <c r="I1078" s="50"/>
      <c r="J1078" s="50"/>
      <c r="K1078" s="50"/>
      <c r="L1078" s="50"/>
      <c r="M1078" s="50"/>
      <c r="N1078" s="50"/>
      <c r="O1078" s="50"/>
      <c r="P1078" s="50"/>
      <c r="Q1078" s="50"/>
      <c r="R1078" s="50"/>
      <c r="S1078" s="50"/>
      <c r="T1078" s="50"/>
      <c r="U1078" s="50"/>
      <c r="V1078" s="50"/>
      <c r="W1078" s="50"/>
      <c r="X1078" s="50"/>
      <c r="Y1078" s="50"/>
      <c r="Z1078" s="50"/>
      <c r="AA1078" s="50"/>
      <c r="AB1078" s="50"/>
    </row>
    <row r="1079" customHeight="1" spans="1:28">
      <c r="A1079" s="50"/>
      <c r="B1079" s="50"/>
      <c r="C1079" s="50"/>
      <c r="D1079" s="50"/>
      <c r="E1079" s="50"/>
      <c r="F1079" s="50"/>
      <c r="G1079" s="50"/>
      <c r="H1079" s="50"/>
      <c r="I1079" s="50"/>
      <c r="J1079" s="50"/>
      <c r="K1079" s="50"/>
      <c r="L1079" s="50"/>
      <c r="M1079" s="50"/>
      <c r="N1079" s="50"/>
      <c r="O1079" s="50"/>
      <c r="P1079" s="50"/>
      <c r="Q1079" s="50"/>
      <c r="R1079" s="50"/>
      <c r="S1079" s="50"/>
      <c r="T1079" s="50"/>
      <c r="U1079" s="50"/>
      <c r="V1079" s="50"/>
      <c r="W1079" s="50"/>
      <c r="X1079" s="50"/>
      <c r="Y1079" s="50"/>
      <c r="Z1079" s="50"/>
      <c r="AA1079" s="50"/>
      <c r="AB1079" s="50"/>
    </row>
    <row r="1080" customHeight="1" spans="1:28">
      <c r="A1080" s="50"/>
      <c r="B1080" s="50"/>
      <c r="C1080" s="50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  <c r="S1080" s="50"/>
      <c r="T1080" s="50"/>
      <c r="U1080" s="50"/>
      <c r="V1080" s="50"/>
      <c r="W1080" s="50"/>
      <c r="X1080" s="50"/>
      <c r="Y1080" s="50"/>
      <c r="Z1080" s="50"/>
      <c r="AA1080" s="50"/>
      <c r="AB1080" s="50"/>
    </row>
    <row r="1081" customHeight="1" spans="1:28">
      <c r="A1081" s="50"/>
      <c r="B1081" s="50"/>
      <c r="C1081" s="50"/>
      <c r="D1081" s="50"/>
      <c r="E1081" s="50"/>
      <c r="F1081" s="50"/>
      <c r="G1081" s="50"/>
      <c r="H1081" s="50"/>
      <c r="I1081" s="50"/>
      <c r="J1081" s="50"/>
      <c r="K1081" s="50"/>
      <c r="L1081" s="50"/>
      <c r="M1081" s="50"/>
      <c r="N1081" s="50"/>
      <c r="O1081" s="50"/>
      <c r="P1081" s="50"/>
      <c r="Q1081" s="50"/>
      <c r="R1081" s="50"/>
      <c r="S1081" s="50"/>
      <c r="T1081" s="50"/>
      <c r="U1081" s="50"/>
      <c r="V1081" s="50"/>
      <c r="W1081" s="50"/>
      <c r="X1081" s="50"/>
      <c r="Y1081" s="50"/>
      <c r="Z1081" s="50"/>
      <c r="AA1081" s="50"/>
      <c r="AB1081" s="50"/>
    </row>
    <row r="1082" customHeight="1" spans="1:28">
      <c r="A1082" s="50"/>
      <c r="B1082" s="50"/>
      <c r="C1082" s="50"/>
      <c r="D1082" s="50"/>
      <c r="E1082" s="50"/>
      <c r="F1082" s="50"/>
      <c r="G1082" s="50"/>
      <c r="H1082" s="50"/>
      <c r="I1082" s="50"/>
      <c r="J1082" s="50"/>
      <c r="K1082" s="50"/>
      <c r="L1082" s="50"/>
      <c r="M1082" s="50"/>
      <c r="N1082" s="50"/>
      <c r="O1082" s="50"/>
      <c r="P1082" s="50"/>
      <c r="Q1082" s="50"/>
      <c r="R1082" s="50"/>
      <c r="S1082" s="50"/>
      <c r="T1082" s="50"/>
      <c r="U1082" s="50"/>
      <c r="V1082" s="50"/>
      <c r="W1082" s="50"/>
      <c r="X1082" s="50"/>
      <c r="Y1082" s="50"/>
      <c r="Z1082" s="50"/>
      <c r="AA1082" s="50"/>
      <c r="AB1082" s="50"/>
    </row>
    <row r="1083" customHeight="1" spans="1:28">
      <c r="A1083" s="50"/>
      <c r="B1083" s="50"/>
      <c r="C1083" s="50"/>
      <c r="D1083" s="50"/>
      <c r="E1083" s="50"/>
      <c r="F1083" s="50"/>
      <c r="G1083" s="50"/>
      <c r="H1083" s="50"/>
      <c r="I1083" s="50"/>
      <c r="J1083" s="50"/>
      <c r="K1083" s="50"/>
      <c r="L1083" s="50"/>
      <c r="M1083" s="50"/>
      <c r="N1083" s="50"/>
      <c r="O1083" s="50"/>
      <c r="P1083" s="50"/>
      <c r="Q1083" s="50"/>
      <c r="R1083" s="50"/>
      <c r="S1083" s="50"/>
      <c r="T1083" s="50"/>
      <c r="U1083" s="50"/>
      <c r="V1083" s="50"/>
      <c r="W1083" s="50"/>
      <c r="X1083" s="50"/>
      <c r="Y1083" s="50"/>
      <c r="Z1083" s="50"/>
      <c r="AA1083" s="50"/>
      <c r="AB1083" s="50"/>
    </row>
    <row r="1084" customHeight="1" spans="1:28">
      <c r="A1084" s="50"/>
      <c r="B1084" s="50"/>
      <c r="C1084" s="50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  <c r="S1084" s="50"/>
      <c r="T1084" s="50"/>
      <c r="U1084" s="50"/>
      <c r="V1084" s="50"/>
      <c r="W1084" s="50"/>
      <c r="X1084" s="50"/>
      <c r="Y1084" s="50"/>
      <c r="Z1084" s="50"/>
      <c r="AA1084" s="50"/>
      <c r="AB1084" s="50"/>
    </row>
    <row r="1085" customHeight="1" spans="1:28">
      <c r="A1085" s="50"/>
      <c r="B1085" s="50"/>
      <c r="C1085" s="50"/>
      <c r="D1085" s="50"/>
      <c r="E1085" s="50"/>
      <c r="F1085" s="50"/>
      <c r="G1085" s="50"/>
      <c r="H1085" s="50"/>
      <c r="I1085" s="50"/>
      <c r="J1085" s="50"/>
      <c r="K1085" s="50"/>
      <c r="L1085" s="50"/>
      <c r="M1085" s="50"/>
      <c r="N1085" s="50"/>
      <c r="O1085" s="50"/>
      <c r="P1085" s="50"/>
      <c r="Q1085" s="50"/>
      <c r="R1085" s="50"/>
      <c r="S1085" s="50"/>
      <c r="T1085" s="50"/>
      <c r="U1085" s="50"/>
      <c r="V1085" s="50"/>
      <c r="W1085" s="50"/>
      <c r="X1085" s="50"/>
      <c r="Y1085" s="50"/>
      <c r="Z1085" s="50"/>
      <c r="AA1085" s="50"/>
      <c r="AB1085" s="50"/>
    </row>
    <row r="1086" customHeight="1" spans="1:28">
      <c r="A1086" s="50"/>
      <c r="B1086" s="50"/>
      <c r="C1086" s="50"/>
      <c r="D1086" s="50"/>
      <c r="E1086" s="50"/>
      <c r="F1086" s="50"/>
      <c r="G1086" s="50"/>
      <c r="H1086" s="50"/>
      <c r="I1086" s="50"/>
      <c r="J1086" s="50"/>
      <c r="K1086" s="50"/>
      <c r="L1086" s="50"/>
      <c r="M1086" s="50"/>
      <c r="N1086" s="50"/>
      <c r="O1086" s="50"/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0"/>
      <c r="AA1086" s="50"/>
      <c r="AB1086" s="50"/>
    </row>
    <row r="1087" customHeight="1" spans="1:28">
      <c r="A1087" s="50"/>
      <c r="B1087" s="50"/>
      <c r="C1087" s="50"/>
      <c r="D1087" s="50"/>
      <c r="E1087" s="50"/>
      <c r="F1087" s="50"/>
      <c r="G1087" s="50"/>
      <c r="H1087" s="50"/>
      <c r="I1087" s="50"/>
      <c r="J1087" s="50"/>
      <c r="K1087" s="50"/>
      <c r="L1087" s="50"/>
      <c r="M1087" s="50"/>
      <c r="N1087" s="50"/>
      <c r="O1087" s="50"/>
      <c r="P1087" s="50"/>
      <c r="Q1087" s="50"/>
      <c r="R1087" s="50"/>
      <c r="S1087" s="50"/>
      <c r="T1087" s="50"/>
      <c r="U1087" s="50"/>
      <c r="V1087" s="50"/>
      <c r="W1087" s="50"/>
      <c r="X1087" s="50"/>
      <c r="Y1087" s="50"/>
      <c r="Z1087" s="50"/>
      <c r="AA1087" s="50"/>
      <c r="AB1087" s="50"/>
    </row>
    <row r="1088" customHeight="1" spans="1:28">
      <c r="A1088" s="50"/>
      <c r="B1088" s="50"/>
      <c r="C1088" s="50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  <c r="S1088" s="50"/>
      <c r="T1088" s="50"/>
      <c r="U1088" s="50"/>
      <c r="V1088" s="50"/>
      <c r="W1088" s="50"/>
      <c r="X1088" s="50"/>
      <c r="Y1088" s="50"/>
      <c r="Z1088" s="50"/>
      <c r="AA1088" s="50"/>
      <c r="AB1088" s="50"/>
    </row>
    <row r="1089" customHeight="1" spans="1:28">
      <c r="A1089" s="50"/>
      <c r="B1089" s="50"/>
      <c r="C1089" s="50"/>
      <c r="D1089" s="50"/>
      <c r="E1089" s="50"/>
      <c r="F1089" s="50"/>
      <c r="G1089" s="50"/>
      <c r="H1089" s="50"/>
      <c r="I1089" s="50"/>
      <c r="J1089" s="50"/>
      <c r="K1089" s="50"/>
      <c r="L1089" s="50"/>
      <c r="M1089" s="50"/>
      <c r="N1089" s="50"/>
      <c r="O1089" s="50"/>
      <c r="P1089" s="50"/>
      <c r="Q1089" s="50"/>
      <c r="R1089" s="50"/>
      <c r="S1089" s="50"/>
      <c r="T1089" s="50"/>
      <c r="U1089" s="50"/>
      <c r="V1089" s="50"/>
      <c r="W1089" s="50"/>
      <c r="X1089" s="50"/>
      <c r="Y1089" s="50"/>
      <c r="Z1089" s="50"/>
      <c r="AA1089" s="50"/>
      <c r="AB1089" s="50"/>
    </row>
    <row r="1090" customHeight="1" spans="1:28">
      <c r="A1090" s="50"/>
      <c r="B1090" s="50"/>
      <c r="C1090" s="50"/>
      <c r="D1090" s="50"/>
      <c r="E1090" s="50"/>
      <c r="F1090" s="50"/>
      <c r="G1090" s="50"/>
      <c r="H1090" s="50"/>
      <c r="I1090" s="50"/>
      <c r="J1090" s="50"/>
      <c r="K1090" s="50"/>
      <c r="L1090" s="50"/>
      <c r="M1090" s="50"/>
      <c r="N1090" s="50"/>
      <c r="O1090" s="50"/>
      <c r="P1090" s="50"/>
      <c r="Q1090" s="50"/>
      <c r="R1090" s="50"/>
      <c r="S1090" s="50"/>
      <c r="T1090" s="50"/>
      <c r="U1090" s="50"/>
      <c r="V1090" s="50"/>
      <c r="W1090" s="50"/>
      <c r="X1090" s="50"/>
      <c r="Y1090" s="50"/>
      <c r="Z1090" s="50"/>
      <c r="AA1090" s="50"/>
      <c r="AB1090" s="50"/>
    </row>
    <row r="1091" customHeight="1" spans="1:28">
      <c r="A1091" s="50"/>
      <c r="B1091" s="50"/>
      <c r="C1091" s="50"/>
      <c r="D1091" s="50"/>
      <c r="E1091" s="50"/>
      <c r="F1091" s="50"/>
      <c r="G1091" s="50"/>
      <c r="H1091" s="50"/>
      <c r="I1091" s="50"/>
      <c r="J1091" s="50"/>
      <c r="K1091" s="50"/>
      <c r="L1091" s="50"/>
      <c r="M1091" s="50"/>
      <c r="N1091" s="50"/>
      <c r="O1091" s="50"/>
      <c r="P1091" s="50"/>
      <c r="Q1091" s="50"/>
      <c r="R1091" s="50"/>
      <c r="S1091" s="50"/>
      <c r="T1091" s="50"/>
      <c r="U1091" s="50"/>
      <c r="V1091" s="50"/>
      <c r="W1091" s="50"/>
      <c r="X1091" s="50"/>
      <c r="Y1091" s="50"/>
      <c r="Z1091" s="50"/>
      <c r="AA1091" s="50"/>
      <c r="AB1091" s="50"/>
    </row>
    <row r="1092" customHeight="1" spans="1:28">
      <c r="A1092" s="50"/>
      <c r="B1092" s="50"/>
      <c r="C1092" s="50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  <c r="S1092" s="50"/>
      <c r="T1092" s="50"/>
      <c r="U1092" s="50"/>
      <c r="V1092" s="50"/>
      <c r="W1092" s="50"/>
      <c r="X1092" s="50"/>
      <c r="Y1092" s="50"/>
      <c r="Z1092" s="50"/>
      <c r="AA1092" s="50"/>
      <c r="AB1092" s="50"/>
    </row>
    <row r="1093" customHeight="1" spans="1:28">
      <c r="A1093" s="50"/>
      <c r="B1093" s="50"/>
      <c r="C1093" s="50"/>
      <c r="D1093" s="50"/>
      <c r="E1093" s="50"/>
      <c r="F1093" s="50"/>
      <c r="G1093" s="50"/>
      <c r="H1093" s="50"/>
      <c r="I1093" s="50"/>
      <c r="J1093" s="50"/>
      <c r="K1093" s="50"/>
      <c r="L1093" s="50"/>
      <c r="M1093" s="50"/>
      <c r="N1093" s="50"/>
      <c r="O1093" s="50"/>
      <c r="P1093" s="50"/>
      <c r="Q1093" s="50"/>
      <c r="R1093" s="50"/>
      <c r="S1093" s="50"/>
      <c r="T1093" s="50"/>
      <c r="U1093" s="50"/>
      <c r="V1093" s="50"/>
      <c r="W1093" s="50"/>
      <c r="X1093" s="50"/>
      <c r="Y1093" s="50"/>
      <c r="Z1093" s="50"/>
      <c r="AA1093" s="50"/>
      <c r="AB1093" s="50"/>
    </row>
    <row r="1094" customHeight="1" spans="1:28">
      <c r="A1094" s="50"/>
      <c r="B1094" s="50"/>
      <c r="C1094" s="50"/>
      <c r="D1094" s="50"/>
      <c r="E1094" s="50"/>
      <c r="F1094" s="50"/>
      <c r="G1094" s="50"/>
      <c r="H1094" s="50"/>
      <c r="I1094" s="50"/>
      <c r="J1094" s="50"/>
      <c r="K1094" s="50"/>
      <c r="L1094" s="50"/>
      <c r="M1094" s="50"/>
      <c r="N1094" s="50"/>
      <c r="O1094" s="50"/>
      <c r="P1094" s="50"/>
      <c r="Q1094" s="50"/>
      <c r="R1094" s="50"/>
      <c r="S1094" s="50"/>
      <c r="T1094" s="50"/>
      <c r="U1094" s="50"/>
      <c r="V1094" s="50"/>
      <c r="W1094" s="50"/>
      <c r="X1094" s="50"/>
      <c r="Y1094" s="50"/>
      <c r="Z1094" s="50"/>
      <c r="AA1094" s="50"/>
      <c r="AB1094" s="50"/>
    </row>
    <row r="1095" customHeight="1" spans="1:28">
      <c r="A1095" s="50"/>
      <c r="B1095" s="50"/>
      <c r="C1095" s="50"/>
      <c r="D1095" s="50"/>
      <c r="E1095" s="50"/>
      <c r="F1095" s="50"/>
      <c r="G1095" s="50"/>
      <c r="H1095" s="50"/>
      <c r="I1095" s="50"/>
      <c r="J1095" s="50"/>
      <c r="K1095" s="50"/>
      <c r="L1095" s="50"/>
      <c r="M1095" s="50"/>
      <c r="N1095" s="50"/>
      <c r="O1095" s="50"/>
      <c r="P1095" s="50"/>
      <c r="Q1095" s="50"/>
      <c r="R1095" s="50"/>
      <c r="S1095" s="50"/>
      <c r="T1095" s="50"/>
      <c r="U1095" s="50"/>
      <c r="V1095" s="50"/>
      <c r="W1095" s="50"/>
      <c r="X1095" s="50"/>
      <c r="Y1095" s="50"/>
      <c r="Z1095" s="50"/>
      <c r="AA1095" s="50"/>
      <c r="AB1095" s="50"/>
    </row>
    <row r="1096" customHeight="1" spans="1:28">
      <c r="A1096" s="50"/>
      <c r="B1096" s="50"/>
      <c r="C1096" s="50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  <c r="S1096" s="50"/>
      <c r="T1096" s="50"/>
      <c r="U1096" s="50"/>
      <c r="V1096" s="50"/>
      <c r="W1096" s="50"/>
      <c r="X1096" s="50"/>
      <c r="Y1096" s="50"/>
      <c r="Z1096" s="50"/>
      <c r="AA1096" s="50"/>
      <c r="AB1096" s="50"/>
    </row>
    <row r="1097" customHeight="1" spans="1:28">
      <c r="A1097" s="50"/>
      <c r="B1097" s="50"/>
      <c r="C1097" s="50"/>
      <c r="D1097" s="50"/>
      <c r="E1097" s="50"/>
      <c r="F1097" s="50"/>
      <c r="G1097" s="50"/>
      <c r="H1097" s="50"/>
      <c r="I1097" s="50"/>
      <c r="J1097" s="50"/>
      <c r="K1097" s="50"/>
      <c r="L1097" s="50"/>
      <c r="M1097" s="50"/>
      <c r="N1097" s="50"/>
      <c r="O1097" s="50"/>
      <c r="P1097" s="50"/>
      <c r="Q1097" s="50"/>
      <c r="R1097" s="50"/>
      <c r="S1097" s="50"/>
      <c r="T1097" s="50"/>
      <c r="U1097" s="50"/>
      <c r="V1097" s="50"/>
      <c r="W1097" s="50"/>
      <c r="X1097" s="50"/>
      <c r="Y1097" s="50"/>
      <c r="Z1097" s="50"/>
      <c r="AA1097" s="50"/>
      <c r="AB1097" s="50"/>
    </row>
    <row r="1098" customHeight="1" spans="1:28">
      <c r="A1098" s="50"/>
      <c r="B1098" s="50"/>
      <c r="C1098" s="50"/>
      <c r="D1098" s="50"/>
      <c r="E1098" s="50"/>
      <c r="F1098" s="50"/>
      <c r="G1098" s="50"/>
      <c r="H1098" s="50"/>
      <c r="I1098" s="50"/>
      <c r="J1098" s="50"/>
      <c r="K1098" s="50"/>
      <c r="L1098" s="50"/>
      <c r="M1098" s="50"/>
      <c r="N1098" s="50"/>
      <c r="O1098" s="50"/>
      <c r="P1098" s="50"/>
      <c r="Q1098" s="50"/>
      <c r="R1098" s="50"/>
      <c r="S1098" s="50"/>
      <c r="T1098" s="50"/>
      <c r="U1098" s="50"/>
      <c r="V1098" s="50"/>
      <c r="W1098" s="50"/>
      <c r="X1098" s="50"/>
      <c r="Y1098" s="50"/>
      <c r="Z1098" s="50"/>
      <c r="AA1098" s="50"/>
      <c r="AB1098" s="50"/>
    </row>
    <row r="1099" customHeight="1" spans="1:28">
      <c r="A1099" s="50"/>
      <c r="B1099" s="50"/>
      <c r="C1099" s="50"/>
      <c r="D1099" s="50"/>
      <c r="E1099" s="50"/>
      <c r="F1099" s="50"/>
      <c r="G1099" s="50"/>
      <c r="H1099" s="50"/>
      <c r="I1099" s="50"/>
      <c r="J1099" s="50"/>
      <c r="K1099" s="50"/>
      <c r="L1099" s="50"/>
      <c r="M1099" s="50"/>
      <c r="N1099" s="50"/>
      <c r="O1099" s="50"/>
      <c r="P1099" s="50"/>
      <c r="Q1099" s="50"/>
      <c r="R1099" s="50"/>
      <c r="S1099" s="50"/>
      <c r="T1099" s="50"/>
      <c r="U1099" s="50"/>
      <c r="V1099" s="50"/>
      <c r="W1099" s="50"/>
      <c r="X1099" s="50"/>
      <c r="Y1099" s="50"/>
      <c r="Z1099" s="50"/>
      <c r="AA1099" s="50"/>
      <c r="AB1099" s="50"/>
    </row>
    <row r="1100" customHeight="1" spans="1:28">
      <c r="A1100" s="50"/>
      <c r="B1100" s="50"/>
      <c r="C1100" s="50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  <c r="S1100" s="50"/>
      <c r="T1100" s="50"/>
      <c r="U1100" s="50"/>
      <c r="V1100" s="50"/>
      <c r="W1100" s="50"/>
      <c r="X1100" s="50"/>
      <c r="Y1100" s="50"/>
      <c r="Z1100" s="50"/>
      <c r="AA1100" s="50"/>
      <c r="AB1100" s="50"/>
    </row>
    <row r="1101" customHeight="1" spans="1:28">
      <c r="A1101" s="50"/>
      <c r="B1101" s="50"/>
      <c r="C1101" s="50"/>
      <c r="D1101" s="50"/>
      <c r="E1101" s="50"/>
      <c r="F1101" s="50"/>
      <c r="G1101" s="50"/>
      <c r="H1101" s="50"/>
      <c r="I1101" s="50"/>
      <c r="J1101" s="50"/>
      <c r="K1101" s="50"/>
      <c r="L1101" s="50"/>
      <c r="M1101" s="50"/>
      <c r="N1101" s="50"/>
      <c r="O1101" s="50"/>
      <c r="P1101" s="50"/>
      <c r="Q1101" s="50"/>
      <c r="R1101" s="50"/>
      <c r="S1101" s="50"/>
      <c r="T1101" s="50"/>
      <c r="U1101" s="50"/>
      <c r="V1101" s="50"/>
      <c r="W1101" s="50"/>
      <c r="X1101" s="50"/>
      <c r="Y1101" s="50"/>
      <c r="Z1101" s="50"/>
      <c r="AA1101" s="50"/>
      <c r="AB1101" s="50"/>
    </row>
    <row r="1102" customHeight="1" spans="1:28">
      <c r="A1102" s="50"/>
      <c r="B1102" s="50"/>
      <c r="C1102" s="50"/>
      <c r="D1102" s="50"/>
      <c r="E1102" s="50"/>
      <c r="F1102" s="50"/>
      <c r="G1102" s="50"/>
      <c r="H1102" s="50"/>
      <c r="I1102" s="50"/>
      <c r="J1102" s="50"/>
      <c r="K1102" s="50"/>
      <c r="L1102" s="50"/>
      <c r="M1102" s="50"/>
      <c r="N1102" s="50"/>
      <c r="O1102" s="50"/>
      <c r="P1102" s="50"/>
      <c r="Q1102" s="50"/>
      <c r="R1102" s="50"/>
      <c r="S1102" s="50"/>
      <c r="T1102" s="50"/>
      <c r="U1102" s="50"/>
      <c r="V1102" s="50"/>
      <c r="W1102" s="50"/>
      <c r="X1102" s="50"/>
      <c r="Y1102" s="50"/>
      <c r="Z1102" s="50"/>
      <c r="AA1102" s="50"/>
      <c r="AB1102" s="50"/>
    </row>
    <row r="1103" customHeight="1" spans="1:28">
      <c r="A1103" s="50"/>
      <c r="B1103" s="50"/>
      <c r="C1103" s="50"/>
      <c r="D1103" s="50"/>
      <c r="E1103" s="50"/>
      <c r="F1103" s="50"/>
      <c r="G1103" s="50"/>
      <c r="H1103" s="50"/>
      <c r="I1103" s="50"/>
      <c r="J1103" s="50"/>
      <c r="K1103" s="50"/>
      <c r="L1103" s="50"/>
      <c r="M1103" s="50"/>
      <c r="N1103" s="50"/>
      <c r="O1103" s="50"/>
      <c r="P1103" s="50"/>
      <c r="Q1103" s="50"/>
      <c r="R1103" s="50"/>
      <c r="S1103" s="50"/>
      <c r="T1103" s="50"/>
      <c r="U1103" s="50"/>
      <c r="V1103" s="50"/>
      <c r="W1103" s="50"/>
      <c r="X1103" s="50"/>
      <c r="Y1103" s="50"/>
      <c r="Z1103" s="50"/>
      <c r="AA1103" s="50"/>
      <c r="AB1103" s="50"/>
    </row>
    <row r="1104" customHeight="1" spans="1:28">
      <c r="A1104" s="50"/>
      <c r="B1104" s="50"/>
      <c r="C1104" s="50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  <c r="S1104" s="50"/>
      <c r="T1104" s="50"/>
      <c r="U1104" s="50"/>
      <c r="V1104" s="50"/>
      <c r="W1104" s="50"/>
      <c r="X1104" s="50"/>
      <c r="Y1104" s="50"/>
      <c r="Z1104" s="50"/>
      <c r="AA1104" s="50"/>
      <c r="AB1104" s="50"/>
    </row>
    <row r="1105" customHeight="1" spans="1:28">
      <c r="A1105" s="50"/>
      <c r="B1105" s="50"/>
      <c r="C1105" s="50"/>
      <c r="D1105" s="50"/>
      <c r="E1105" s="50"/>
      <c r="F1105" s="50"/>
      <c r="G1105" s="50"/>
      <c r="H1105" s="50"/>
      <c r="I1105" s="50"/>
      <c r="J1105" s="50"/>
      <c r="K1105" s="50"/>
      <c r="L1105" s="50"/>
      <c r="M1105" s="50"/>
      <c r="N1105" s="50"/>
      <c r="O1105" s="50"/>
      <c r="P1105" s="50"/>
      <c r="Q1105" s="50"/>
      <c r="R1105" s="50"/>
      <c r="S1105" s="50"/>
      <c r="T1105" s="50"/>
      <c r="U1105" s="50"/>
      <c r="V1105" s="50"/>
      <c r="W1105" s="50"/>
      <c r="X1105" s="50"/>
      <c r="Y1105" s="50"/>
      <c r="Z1105" s="50"/>
      <c r="AA1105" s="50"/>
      <c r="AB1105" s="50"/>
    </row>
    <row r="1106" customHeight="1" spans="1:28">
      <c r="A1106" s="50"/>
      <c r="B1106" s="50"/>
      <c r="C1106" s="50"/>
      <c r="D1106" s="50"/>
      <c r="E1106" s="50"/>
      <c r="F1106" s="50"/>
      <c r="G1106" s="50"/>
      <c r="H1106" s="50"/>
      <c r="I1106" s="50"/>
      <c r="J1106" s="50"/>
      <c r="K1106" s="50"/>
      <c r="L1106" s="50"/>
      <c r="M1106" s="50"/>
      <c r="N1106" s="50"/>
      <c r="O1106" s="50"/>
      <c r="P1106" s="50"/>
      <c r="Q1106" s="50"/>
      <c r="R1106" s="50"/>
      <c r="S1106" s="50"/>
      <c r="T1106" s="50"/>
      <c r="U1106" s="50"/>
      <c r="V1106" s="50"/>
      <c r="W1106" s="50"/>
      <c r="X1106" s="50"/>
      <c r="Y1106" s="50"/>
      <c r="Z1106" s="50"/>
      <c r="AA1106" s="50"/>
      <c r="AB1106" s="50"/>
    </row>
    <row r="1107" customHeight="1" spans="1:28">
      <c r="A1107" s="50"/>
      <c r="B1107" s="50"/>
      <c r="C1107" s="50"/>
      <c r="D1107" s="50"/>
      <c r="E1107" s="50"/>
      <c r="F1107" s="50"/>
      <c r="G1107" s="50"/>
      <c r="H1107" s="50"/>
      <c r="I1107" s="50"/>
      <c r="J1107" s="50"/>
      <c r="K1107" s="50"/>
      <c r="L1107" s="50"/>
      <c r="M1107" s="50"/>
      <c r="N1107" s="50"/>
      <c r="O1107" s="50"/>
      <c r="P1107" s="50"/>
      <c r="Q1107" s="50"/>
      <c r="R1107" s="50"/>
      <c r="S1107" s="50"/>
      <c r="T1107" s="50"/>
      <c r="U1107" s="50"/>
      <c r="V1107" s="50"/>
      <c r="W1107" s="50"/>
      <c r="X1107" s="50"/>
      <c r="Y1107" s="50"/>
      <c r="Z1107" s="50"/>
      <c r="AA1107" s="50"/>
      <c r="AB1107" s="50"/>
    </row>
    <row r="1108" customHeight="1" spans="1:28">
      <c r="A1108" s="50"/>
      <c r="B1108" s="50"/>
      <c r="C1108" s="50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  <c r="S1108" s="50"/>
      <c r="T1108" s="50"/>
      <c r="U1108" s="50"/>
      <c r="V1108" s="50"/>
      <c r="W1108" s="50"/>
      <c r="X1108" s="50"/>
      <c r="Y1108" s="50"/>
      <c r="Z1108" s="50"/>
      <c r="AA1108" s="50"/>
      <c r="AB1108" s="50"/>
    </row>
    <row r="1109" customHeight="1" spans="1:28">
      <c r="A1109" s="50"/>
      <c r="B1109" s="50"/>
      <c r="C1109" s="50"/>
      <c r="D1109" s="50"/>
      <c r="E1109" s="50"/>
      <c r="F1109" s="50"/>
      <c r="G1109" s="50"/>
      <c r="H1109" s="50"/>
      <c r="I1109" s="50"/>
      <c r="J1109" s="50"/>
      <c r="K1109" s="50"/>
      <c r="L1109" s="50"/>
      <c r="M1109" s="50"/>
      <c r="N1109" s="50"/>
      <c r="O1109" s="50"/>
      <c r="P1109" s="50"/>
      <c r="Q1109" s="50"/>
      <c r="R1109" s="50"/>
      <c r="S1109" s="50"/>
      <c r="T1109" s="50"/>
      <c r="U1109" s="50"/>
      <c r="V1109" s="50"/>
      <c r="W1109" s="50"/>
      <c r="X1109" s="50"/>
      <c r="Y1109" s="50"/>
      <c r="Z1109" s="50"/>
      <c r="AA1109" s="50"/>
      <c r="AB1109" s="50"/>
    </row>
    <row r="1110" customHeight="1" spans="1:28">
      <c r="A1110" s="50"/>
      <c r="B1110" s="50"/>
      <c r="C1110" s="50"/>
      <c r="D1110" s="50"/>
      <c r="E1110" s="50"/>
      <c r="F1110" s="50"/>
      <c r="G1110" s="50"/>
      <c r="H1110" s="50"/>
      <c r="I1110" s="50"/>
      <c r="J1110" s="50"/>
      <c r="K1110" s="50"/>
      <c r="L1110" s="50"/>
      <c r="M1110" s="50"/>
      <c r="N1110" s="50"/>
      <c r="O1110" s="50"/>
      <c r="P1110" s="50"/>
      <c r="Q1110" s="50"/>
      <c r="R1110" s="50"/>
      <c r="S1110" s="50"/>
      <c r="T1110" s="50"/>
      <c r="U1110" s="50"/>
      <c r="V1110" s="50"/>
      <c r="W1110" s="50"/>
      <c r="X1110" s="50"/>
      <c r="Y1110" s="50"/>
      <c r="Z1110" s="50"/>
      <c r="AA1110" s="50"/>
      <c r="AB1110" s="50"/>
    </row>
    <row r="1111" customHeight="1" spans="1:28">
      <c r="A1111" s="50"/>
      <c r="B1111" s="50"/>
      <c r="C1111" s="50"/>
      <c r="D1111" s="50"/>
      <c r="E1111" s="50"/>
      <c r="F1111" s="50"/>
      <c r="G1111" s="50"/>
      <c r="H1111" s="50"/>
      <c r="I1111" s="50"/>
      <c r="J1111" s="50"/>
      <c r="K1111" s="50"/>
      <c r="L1111" s="50"/>
      <c r="M1111" s="50"/>
      <c r="N1111" s="50"/>
      <c r="O1111" s="50"/>
      <c r="P1111" s="50"/>
      <c r="Q1111" s="50"/>
      <c r="R1111" s="50"/>
      <c r="S1111" s="50"/>
      <c r="T1111" s="50"/>
      <c r="U1111" s="50"/>
      <c r="V1111" s="50"/>
      <c r="W1111" s="50"/>
      <c r="X1111" s="50"/>
      <c r="Y1111" s="50"/>
      <c r="Z1111" s="50"/>
      <c r="AA1111" s="50"/>
      <c r="AB1111" s="50"/>
    </row>
    <row r="1112" customHeight="1" spans="1:28">
      <c r="A1112" s="50"/>
      <c r="B1112" s="50"/>
      <c r="C1112" s="50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  <c r="S1112" s="50"/>
      <c r="T1112" s="50"/>
      <c r="U1112" s="50"/>
      <c r="V1112" s="50"/>
      <c r="W1112" s="50"/>
      <c r="X1112" s="50"/>
      <c r="Y1112" s="50"/>
      <c r="Z1112" s="50"/>
      <c r="AA1112" s="50"/>
      <c r="AB1112" s="50"/>
    </row>
    <row r="1113" customHeight="1" spans="1:28">
      <c r="A1113" s="50"/>
      <c r="B1113" s="50"/>
      <c r="C1113" s="50"/>
      <c r="D1113" s="50"/>
      <c r="E1113" s="50"/>
      <c r="F1113" s="50"/>
      <c r="G1113" s="50"/>
      <c r="H1113" s="50"/>
      <c r="I1113" s="50"/>
      <c r="J1113" s="50"/>
      <c r="K1113" s="50"/>
      <c r="L1113" s="50"/>
      <c r="M1113" s="50"/>
      <c r="N1113" s="50"/>
      <c r="O1113" s="50"/>
      <c r="P1113" s="50"/>
      <c r="Q1113" s="50"/>
      <c r="R1113" s="50"/>
      <c r="S1113" s="50"/>
      <c r="T1113" s="50"/>
      <c r="U1113" s="50"/>
      <c r="V1113" s="50"/>
      <c r="W1113" s="50"/>
      <c r="X1113" s="50"/>
      <c r="Y1113" s="50"/>
      <c r="Z1113" s="50"/>
      <c r="AA1113" s="50"/>
      <c r="AB1113" s="50"/>
    </row>
    <row r="1114" customHeight="1" spans="1:28">
      <c r="A1114" s="50"/>
      <c r="B1114" s="50"/>
      <c r="C1114" s="50"/>
      <c r="D1114" s="50"/>
      <c r="E1114" s="50"/>
      <c r="F1114" s="50"/>
      <c r="G1114" s="50"/>
      <c r="H1114" s="50"/>
      <c r="I1114" s="50"/>
      <c r="J1114" s="50"/>
      <c r="K1114" s="50"/>
      <c r="L1114" s="50"/>
      <c r="M1114" s="50"/>
      <c r="N1114" s="50"/>
      <c r="O1114" s="50"/>
      <c r="P1114" s="50"/>
      <c r="Q1114" s="50"/>
      <c r="R1114" s="50"/>
      <c r="S1114" s="50"/>
      <c r="T1114" s="50"/>
      <c r="U1114" s="50"/>
      <c r="V1114" s="50"/>
      <c r="W1114" s="50"/>
      <c r="X1114" s="50"/>
      <c r="Y1114" s="50"/>
      <c r="Z1114" s="50"/>
      <c r="AA1114" s="50"/>
      <c r="AB1114" s="50"/>
    </row>
    <row r="1115" customHeight="1" spans="1:28">
      <c r="A1115" s="50"/>
      <c r="B1115" s="50"/>
      <c r="C1115" s="50"/>
      <c r="D1115" s="50"/>
      <c r="E1115" s="50"/>
      <c r="F1115" s="50"/>
      <c r="G1115" s="50"/>
      <c r="H1115" s="50"/>
      <c r="I1115" s="50"/>
      <c r="J1115" s="50"/>
      <c r="K1115" s="50"/>
      <c r="L1115" s="50"/>
      <c r="M1115" s="50"/>
      <c r="N1115" s="50"/>
      <c r="O1115" s="50"/>
      <c r="P1115" s="50"/>
      <c r="Q1115" s="50"/>
      <c r="R1115" s="50"/>
      <c r="S1115" s="50"/>
      <c r="T1115" s="50"/>
      <c r="U1115" s="50"/>
      <c r="V1115" s="50"/>
      <c r="W1115" s="50"/>
      <c r="X1115" s="50"/>
      <c r="Y1115" s="50"/>
      <c r="Z1115" s="50"/>
      <c r="AA1115" s="50"/>
      <c r="AB1115" s="50"/>
    </row>
    <row r="1116" customHeight="1" spans="1:28">
      <c r="A1116" s="50"/>
      <c r="B1116" s="50"/>
      <c r="C1116" s="50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  <c r="S1116" s="50"/>
      <c r="T1116" s="50"/>
      <c r="U1116" s="50"/>
      <c r="V1116" s="50"/>
      <c r="W1116" s="50"/>
      <c r="X1116" s="50"/>
      <c r="Y1116" s="50"/>
      <c r="Z1116" s="50"/>
      <c r="AA1116" s="50"/>
      <c r="AB1116" s="50"/>
    </row>
    <row r="1117" customHeight="1" spans="1:28">
      <c r="A1117" s="50"/>
      <c r="B1117" s="50"/>
      <c r="C1117" s="50"/>
      <c r="D1117" s="50"/>
      <c r="E1117" s="50"/>
      <c r="F1117" s="50"/>
      <c r="G1117" s="50"/>
      <c r="H1117" s="50"/>
      <c r="I1117" s="50"/>
      <c r="J1117" s="50"/>
      <c r="K1117" s="50"/>
      <c r="L1117" s="50"/>
      <c r="M1117" s="50"/>
      <c r="N1117" s="50"/>
      <c r="O1117" s="50"/>
      <c r="P1117" s="50"/>
      <c r="Q1117" s="50"/>
      <c r="R1117" s="50"/>
      <c r="S1117" s="50"/>
      <c r="T1117" s="50"/>
      <c r="U1117" s="50"/>
      <c r="V1117" s="50"/>
      <c r="W1117" s="50"/>
      <c r="X1117" s="50"/>
      <c r="Y1117" s="50"/>
      <c r="Z1117" s="50"/>
      <c r="AA1117" s="50"/>
      <c r="AB1117" s="50"/>
    </row>
    <row r="1118" customHeight="1" spans="1:28">
      <c r="A1118" s="50"/>
      <c r="B1118" s="50"/>
      <c r="C1118" s="50"/>
      <c r="D1118" s="50"/>
      <c r="E1118" s="50"/>
      <c r="F1118" s="50"/>
      <c r="G1118" s="50"/>
      <c r="H1118" s="50"/>
      <c r="I1118" s="50"/>
      <c r="J1118" s="50"/>
      <c r="K1118" s="50"/>
      <c r="L1118" s="50"/>
      <c r="M1118" s="50"/>
      <c r="N1118" s="50"/>
      <c r="O1118" s="50"/>
      <c r="P1118" s="50"/>
      <c r="Q1118" s="50"/>
      <c r="R1118" s="50"/>
      <c r="S1118" s="50"/>
      <c r="T1118" s="50"/>
      <c r="U1118" s="50"/>
      <c r="V1118" s="50"/>
      <c r="W1118" s="50"/>
      <c r="X1118" s="50"/>
      <c r="Y1118" s="50"/>
      <c r="Z1118" s="50"/>
      <c r="AA1118" s="50"/>
      <c r="AB1118" s="50"/>
    </row>
    <row r="1119" customHeight="1" spans="1:28">
      <c r="A1119" s="50"/>
      <c r="B1119" s="50"/>
      <c r="C1119" s="50"/>
      <c r="D1119" s="50"/>
      <c r="E1119" s="50"/>
      <c r="F1119" s="50"/>
      <c r="G1119" s="50"/>
      <c r="H1119" s="50"/>
      <c r="I1119" s="50"/>
      <c r="J1119" s="50"/>
      <c r="K1119" s="50"/>
      <c r="L1119" s="50"/>
      <c r="M1119" s="50"/>
      <c r="N1119" s="50"/>
      <c r="O1119" s="50"/>
      <c r="P1119" s="50"/>
      <c r="Q1119" s="50"/>
      <c r="R1119" s="50"/>
      <c r="S1119" s="50"/>
      <c r="T1119" s="50"/>
      <c r="U1119" s="50"/>
      <c r="V1119" s="50"/>
      <c r="W1119" s="50"/>
      <c r="X1119" s="50"/>
      <c r="Y1119" s="50"/>
      <c r="Z1119" s="50"/>
      <c r="AA1119" s="50"/>
      <c r="AB1119" s="50"/>
    </row>
    <row r="1120" customHeight="1" spans="1:28">
      <c r="A1120" s="50"/>
      <c r="B1120" s="50"/>
      <c r="C1120" s="50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  <c r="S1120" s="50"/>
      <c r="T1120" s="50"/>
      <c r="U1120" s="50"/>
      <c r="V1120" s="50"/>
      <c r="W1120" s="50"/>
      <c r="X1120" s="50"/>
      <c r="Y1120" s="50"/>
      <c r="Z1120" s="50"/>
      <c r="AA1120" s="50"/>
      <c r="AB1120" s="50"/>
    </row>
    <row r="1121" customHeight="1" spans="1:28">
      <c r="A1121" s="50"/>
      <c r="B1121" s="50"/>
      <c r="C1121" s="50"/>
      <c r="D1121" s="50"/>
      <c r="E1121" s="50"/>
      <c r="F1121" s="50"/>
      <c r="G1121" s="50"/>
      <c r="H1121" s="50"/>
      <c r="I1121" s="50"/>
      <c r="J1121" s="50"/>
      <c r="K1121" s="50"/>
      <c r="L1121" s="50"/>
      <c r="M1121" s="50"/>
      <c r="N1121" s="50"/>
      <c r="O1121" s="50"/>
      <c r="P1121" s="50"/>
      <c r="Q1121" s="50"/>
      <c r="R1121" s="50"/>
      <c r="S1121" s="50"/>
      <c r="T1121" s="50"/>
      <c r="U1121" s="50"/>
      <c r="V1121" s="50"/>
      <c r="W1121" s="50"/>
      <c r="X1121" s="50"/>
      <c r="Y1121" s="50"/>
      <c r="Z1121" s="50"/>
      <c r="AA1121" s="50"/>
      <c r="AB1121" s="50"/>
    </row>
    <row r="1122" customHeight="1" spans="1:28">
      <c r="A1122" s="50"/>
      <c r="B1122" s="50"/>
      <c r="C1122" s="50"/>
      <c r="D1122" s="50"/>
      <c r="E1122" s="50"/>
      <c r="F1122" s="50"/>
      <c r="G1122" s="50"/>
      <c r="H1122" s="50"/>
      <c r="I1122" s="50"/>
      <c r="J1122" s="50"/>
      <c r="K1122" s="50"/>
      <c r="L1122" s="50"/>
      <c r="M1122" s="50"/>
      <c r="N1122" s="50"/>
      <c r="O1122" s="50"/>
      <c r="P1122" s="50"/>
      <c r="Q1122" s="50"/>
      <c r="R1122" s="50"/>
      <c r="S1122" s="50"/>
      <c r="T1122" s="50"/>
      <c r="U1122" s="50"/>
      <c r="V1122" s="50"/>
      <c r="W1122" s="50"/>
      <c r="X1122" s="50"/>
      <c r="Y1122" s="50"/>
      <c r="Z1122" s="50"/>
      <c r="AA1122" s="50"/>
      <c r="AB1122" s="50"/>
    </row>
    <row r="1123" customHeight="1" spans="1:28">
      <c r="A1123" s="50"/>
      <c r="B1123" s="50"/>
      <c r="C1123" s="50"/>
      <c r="D1123" s="50"/>
      <c r="E1123" s="50"/>
      <c r="F1123" s="50"/>
      <c r="G1123" s="50"/>
      <c r="H1123" s="50"/>
      <c r="I1123" s="50"/>
      <c r="J1123" s="50"/>
      <c r="K1123" s="50"/>
      <c r="L1123" s="50"/>
      <c r="M1123" s="50"/>
      <c r="N1123" s="50"/>
      <c r="O1123" s="50"/>
      <c r="P1123" s="50"/>
      <c r="Q1123" s="50"/>
      <c r="R1123" s="50"/>
      <c r="S1123" s="50"/>
      <c r="T1123" s="50"/>
      <c r="U1123" s="50"/>
      <c r="V1123" s="50"/>
      <c r="W1123" s="50"/>
      <c r="X1123" s="50"/>
      <c r="Y1123" s="50"/>
      <c r="Z1123" s="50"/>
      <c r="AA1123" s="50"/>
      <c r="AB1123" s="50"/>
    </row>
    <row r="1124" customHeight="1" spans="1:28">
      <c r="A1124" s="50"/>
      <c r="B1124" s="50"/>
      <c r="C1124" s="50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0"/>
      <c r="AA1124" s="50"/>
      <c r="AB1124" s="50"/>
    </row>
    <row r="1125" customHeight="1" spans="1:28">
      <c r="A1125" s="50"/>
      <c r="B1125" s="50"/>
      <c r="C1125" s="50"/>
      <c r="D1125" s="50"/>
      <c r="E1125" s="50"/>
      <c r="F1125" s="50"/>
      <c r="G1125" s="50"/>
      <c r="H1125" s="50"/>
      <c r="I1125" s="50"/>
      <c r="J1125" s="50"/>
      <c r="K1125" s="50"/>
      <c r="L1125" s="50"/>
      <c r="M1125" s="50"/>
      <c r="N1125" s="50"/>
      <c r="O1125" s="50"/>
      <c r="P1125" s="50"/>
      <c r="Q1125" s="50"/>
      <c r="R1125" s="50"/>
      <c r="S1125" s="50"/>
      <c r="T1125" s="50"/>
      <c r="U1125" s="50"/>
      <c r="V1125" s="50"/>
      <c r="W1125" s="50"/>
      <c r="X1125" s="50"/>
      <c r="Y1125" s="50"/>
      <c r="Z1125" s="50"/>
      <c r="AA1125" s="50"/>
      <c r="AB1125" s="50"/>
    </row>
    <row r="1126" customHeight="1" spans="1:28">
      <c r="A1126" s="50"/>
      <c r="B1126" s="50"/>
      <c r="C1126" s="50"/>
      <c r="D1126" s="50"/>
      <c r="E1126" s="50"/>
      <c r="F1126" s="50"/>
      <c r="G1126" s="50"/>
      <c r="H1126" s="50"/>
      <c r="I1126" s="50"/>
      <c r="J1126" s="50"/>
      <c r="K1126" s="50"/>
      <c r="L1126" s="50"/>
      <c r="M1126" s="50"/>
      <c r="N1126" s="50"/>
      <c r="O1126" s="50"/>
      <c r="P1126" s="50"/>
      <c r="Q1126" s="50"/>
      <c r="R1126" s="50"/>
      <c r="S1126" s="50"/>
      <c r="T1126" s="50"/>
      <c r="U1126" s="50"/>
      <c r="V1126" s="50"/>
      <c r="W1126" s="50"/>
      <c r="X1126" s="50"/>
      <c r="Y1126" s="50"/>
      <c r="Z1126" s="50"/>
      <c r="AA1126" s="50"/>
      <c r="AB1126" s="50"/>
    </row>
    <row r="1127" customHeight="1" spans="1:28">
      <c r="A1127" s="50"/>
      <c r="B1127" s="50"/>
      <c r="C1127" s="50"/>
      <c r="D1127" s="50"/>
      <c r="E1127" s="50"/>
      <c r="F1127" s="50"/>
      <c r="G1127" s="50"/>
      <c r="H1127" s="50"/>
      <c r="I1127" s="50"/>
      <c r="J1127" s="50"/>
      <c r="K1127" s="50"/>
      <c r="L1127" s="50"/>
      <c r="M1127" s="50"/>
      <c r="N1127" s="50"/>
      <c r="O1127" s="50"/>
      <c r="P1127" s="50"/>
      <c r="Q1127" s="50"/>
      <c r="R1127" s="50"/>
      <c r="S1127" s="50"/>
      <c r="T1127" s="50"/>
      <c r="U1127" s="50"/>
      <c r="V1127" s="50"/>
      <c r="W1127" s="50"/>
      <c r="X1127" s="50"/>
      <c r="Y1127" s="50"/>
      <c r="Z1127" s="50"/>
      <c r="AA1127" s="50"/>
      <c r="AB1127" s="50"/>
    </row>
    <row r="1128" customHeight="1" spans="1:28">
      <c r="A1128" s="50"/>
      <c r="B1128" s="50"/>
      <c r="C1128" s="50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  <c r="S1128" s="50"/>
      <c r="T1128" s="50"/>
      <c r="U1128" s="50"/>
      <c r="V1128" s="50"/>
      <c r="W1128" s="50"/>
      <c r="X1128" s="50"/>
      <c r="Y1128" s="50"/>
      <c r="Z1128" s="50"/>
      <c r="AA1128" s="50"/>
      <c r="AB1128" s="50"/>
    </row>
    <row r="1129" customHeight="1" spans="1:28">
      <c r="A1129" s="50"/>
      <c r="B1129" s="50"/>
      <c r="C1129" s="50"/>
      <c r="D1129" s="50"/>
      <c r="E1129" s="50"/>
      <c r="F1129" s="50"/>
      <c r="G1129" s="50"/>
      <c r="H1129" s="50"/>
      <c r="I1129" s="50"/>
      <c r="J1129" s="50"/>
      <c r="K1129" s="50"/>
      <c r="L1129" s="50"/>
      <c r="M1129" s="50"/>
      <c r="N1129" s="50"/>
      <c r="O1129" s="50"/>
      <c r="P1129" s="50"/>
      <c r="Q1129" s="50"/>
      <c r="R1129" s="50"/>
      <c r="S1129" s="50"/>
      <c r="T1129" s="50"/>
      <c r="U1129" s="50"/>
      <c r="V1129" s="50"/>
      <c r="W1129" s="50"/>
      <c r="X1129" s="50"/>
      <c r="Y1129" s="50"/>
      <c r="Z1129" s="50"/>
      <c r="AA1129" s="50"/>
      <c r="AB1129" s="50"/>
    </row>
    <row r="1130" customHeight="1" spans="1:28">
      <c r="A1130" s="50"/>
      <c r="B1130" s="50"/>
      <c r="C1130" s="50"/>
      <c r="D1130" s="50"/>
      <c r="E1130" s="50"/>
      <c r="F1130" s="50"/>
      <c r="G1130" s="50"/>
      <c r="H1130" s="50"/>
      <c r="I1130" s="50"/>
      <c r="J1130" s="50"/>
      <c r="K1130" s="50"/>
      <c r="L1130" s="50"/>
      <c r="M1130" s="50"/>
      <c r="N1130" s="50"/>
      <c r="O1130" s="50"/>
      <c r="P1130" s="50"/>
      <c r="Q1130" s="50"/>
      <c r="R1130" s="50"/>
      <c r="S1130" s="50"/>
      <c r="T1130" s="50"/>
      <c r="U1130" s="50"/>
      <c r="V1130" s="50"/>
      <c r="W1130" s="50"/>
      <c r="X1130" s="50"/>
      <c r="Y1130" s="50"/>
      <c r="Z1130" s="50"/>
      <c r="AA1130" s="50"/>
      <c r="AB1130" s="50"/>
    </row>
    <row r="1131" customHeight="1" spans="1:28">
      <c r="A1131" s="50"/>
      <c r="B1131" s="50"/>
      <c r="C1131" s="50"/>
      <c r="D1131" s="50"/>
      <c r="E1131" s="50"/>
      <c r="F1131" s="50"/>
      <c r="G1131" s="50"/>
      <c r="H1131" s="50"/>
      <c r="I1131" s="50"/>
      <c r="J1131" s="50"/>
      <c r="K1131" s="50"/>
      <c r="L1131" s="50"/>
      <c r="M1131" s="50"/>
      <c r="N1131" s="50"/>
      <c r="O1131" s="50"/>
      <c r="P1131" s="50"/>
      <c r="Q1131" s="50"/>
      <c r="R1131" s="50"/>
      <c r="S1131" s="50"/>
      <c r="T1131" s="50"/>
      <c r="U1131" s="50"/>
      <c r="V1131" s="50"/>
      <c r="W1131" s="50"/>
      <c r="X1131" s="50"/>
      <c r="Y1131" s="50"/>
      <c r="Z1131" s="50"/>
      <c r="AA1131" s="50"/>
      <c r="AB1131" s="50"/>
    </row>
    <row r="1132" customHeight="1" spans="1:28">
      <c r="A1132" s="50"/>
      <c r="B1132" s="50"/>
      <c r="C1132" s="50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  <c r="S1132" s="50"/>
      <c r="T1132" s="50"/>
      <c r="U1132" s="50"/>
      <c r="V1132" s="50"/>
      <c r="W1132" s="50"/>
      <c r="X1132" s="50"/>
      <c r="Y1132" s="50"/>
      <c r="Z1132" s="50"/>
      <c r="AA1132" s="50"/>
      <c r="AB1132" s="50"/>
    </row>
    <row r="1133" customHeight="1" spans="1:28">
      <c r="A1133" s="50"/>
      <c r="B1133" s="50"/>
      <c r="C1133" s="50"/>
      <c r="D1133" s="50"/>
      <c r="E1133" s="50"/>
      <c r="F1133" s="50"/>
      <c r="G1133" s="50"/>
      <c r="H1133" s="50"/>
      <c r="I1133" s="50"/>
      <c r="J1133" s="50"/>
      <c r="K1133" s="50"/>
      <c r="L1133" s="50"/>
      <c r="M1133" s="50"/>
      <c r="N1133" s="50"/>
      <c r="O1133" s="50"/>
      <c r="P1133" s="50"/>
      <c r="Q1133" s="50"/>
      <c r="R1133" s="50"/>
      <c r="S1133" s="50"/>
      <c r="T1133" s="50"/>
      <c r="U1133" s="50"/>
      <c r="V1133" s="50"/>
      <c r="W1133" s="50"/>
      <c r="X1133" s="50"/>
      <c r="Y1133" s="50"/>
      <c r="Z1133" s="50"/>
      <c r="AA1133" s="50"/>
      <c r="AB1133" s="50"/>
    </row>
    <row r="1134" customHeight="1" spans="1:28">
      <c r="A1134" s="50"/>
      <c r="B1134" s="50"/>
      <c r="C1134" s="50"/>
      <c r="D1134" s="50"/>
      <c r="E1134" s="50"/>
      <c r="F1134" s="50"/>
      <c r="G1134" s="50"/>
      <c r="H1134" s="50"/>
      <c r="I1134" s="50"/>
      <c r="J1134" s="50"/>
      <c r="K1134" s="50"/>
      <c r="L1134" s="50"/>
      <c r="M1134" s="50"/>
      <c r="N1134" s="50"/>
      <c r="O1134" s="50"/>
      <c r="P1134" s="50"/>
      <c r="Q1134" s="50"/>
      <c r="R1134" s="50"/>
      <c r="S1134" s="50"/>
      <c r="T1134" s="50"/>
      <c r="U1134" s="50"/>
      <c r="V1134" s="50"/>
      <c r="W1134" s="50"/>
      <c r="X1134" s="50"/>
      <c r="Y1134" s="50"/>
      <c r="Z1134" s="50"/>
      <c r="AA1134" s="50"/>
      <c r="AB1134" s="50"/>
    </row>
    <row r="1135" customHeight="1" spans="1:28">
      <c r="A1135" s="50"/>
      <c r="B1135" s="50"/>
      <c r="C1135" s="50"/>
      <c r="D1135" s="50"/>
      <c r="E1135" s="50"/>
      <c r="F1135" s="50"/>
      <c r="G1135" s="50"/>
      <c r="H1135" s="50"/>
      <c r="I1135" s="50"/>
      <c r="J1135" s="50"/>
      <c r="K1135" s="50"/>
      <c r="L1135" s="50"/>
      <c r="M1135" s="50"/>
      <c r="N1135" s="50"/>
      <c r="O1135" s="50"/>
      <c r="P1135" s="50"/>
      <c r="Q1135" s="50"/>
      <c r="R1135" s="50"/>
      <c r="S1135" s="50"/>
      <c r="T1135" s="50"/>
      <c r="U1135" s="50"/>
      <c r="V1135" s="50"/>
      <c r="W1135" s="50"/>
      <c r="X1135" s="50"/>
      <c r="Y1135" s="50"/>
      <c r="Z1135" s="50"/>
      <c r="AA1135" s="50"/>
      <c r="AB1135" s="50"/>
    </row>
    <row r="1136" customHeight="1" spans="1:28">
      <c r="A1136" s="50"/>
      <c r="B1136" s="50"/>
      <c r="C1136" s="50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  <c r="S1136" s="50"/>
      <c r="T1136" s="50"/>
      <c r="U1136" s="50"/>
      <c r="V1136" s="50"/>
      <c r="W1136" s="50"/>
      <c r="X1136" s="50"/>
      <c r="Y1136" s="50"/>
      <c r="Z1136" s="50"/>
      <c r="AA1136" s="50"/>
      <c r="AB1136" s="50"/>
    </row>
    <row r="1137" customHeight="1" spans="1:28">
      <c r="A1137" s="50"/>
      <c r="B1137" s="50"/>
      <c r="C1137" s="50"/>
      <c r="D1137" s="50"/>
      <c r="E1137" s="50"/>
      <c r="F1137" s="50"/>
      <c r="G1137" s="50"/>
      <c r="H1137" s="50"/>
      <c r="I1137" s="50"/>
      <c r="J1137" s="50"/>
      <c r="K1137" s="50"/>
      <c r="L1137" s="50"/>
      <c r="M1137" s="50"/>
      <c r="N1137" s="50"/>
      <c r="O1137" s="50"/>
      <c r="P1137" s="50"/>
      <c r="Q1137" s="50"/>
      <c r="R1137" s="50"/>
      <c r="S1137" s="50"/>
      <c r="T1137" s="50"/>
      <c r="U1137" s="50"/>
      <c r="V1137" s="50"/>
      <c r="W1137" s="50"/>
      <c r="X1137" s="50"/>
      <c r="Y1137" s="50"/>
      <c r="Z1137" s="50"/>
      <c r="AA1137" s="50"/>
      <c r="AB1137" s="50"/>
    </row>
    <row r="1138" customHeight="1" spans="1:28">
      <c r="A1138" s="50"/>
      <c r="B1138" s="50"/>
      <c r="C1138" s="50"/>
      <c r="D1138" s="50"/>
      <c r="E1138" s="50"/>
      <c r="F1138" s="50"/>
      <c r="G1138" s="50"/>
      <c r="H1138" s="50"/>
      <c r="I1138" s="50"/>
      <c r="J1138" s="50"/>
      <c r="K1138" s="50"/>
      <c r="L1138" s="50"/>
      <c r="M1138" s="50"/>
      <c r="N1138" s="50"/>
      <c r="O1138" s="50"/>
      <c r="P1138" s="50"/>
      <c r="Q1138" s="50"/>
      <c r="R1138" s="50"/>
      <c r="S1138" s="50"/>
      <c r="T1138" s="50"/>
      <c r="U1138" s="50"/>
      <c r="V1138" s="50"/>
      <c r="W1138" s="50"/>
      <c r="X1138" s="50"/>
      <c r="Y1138" s="50"/>
      <c r="Z1138" s="50"/>
      <c r="AA1138" s="50"/>
      <c r="AB1138" s="50"/>
    </row>
    <row r="1139" customHeight="1" spans="1:28">
      <c r="A1139" s="50"/>
      <c r="B1139" s="50"/>
      <c r="C1139" s="50"/>
      <c r="D1139" s="50"/>
      <c r="E1139" s="50"/>
      <c r="F1139" s="50"/>
      <c r="G1139" s="50"/>
      <c r="H1139" s="50"/>
      <c r="I1139" s="50"/>
      <c r="J1139" s="50"/>
      <c r="K1139" s="50"/>
      <c r="L1139" s="50"/>
      <c r="M1139" s="50"/>
      <c r="N1139" s="50"/>
      <c r="O1139" s="50"/>
      <c r="P1139" s="50"/>
      <c r="Q1139" s="50"/>
      <c r="R1139" s="50"/>
      <c r="S1139" s="50"/>
      <c r="T1139" s="50"/>
      <c r="U1139" s="50"/>
      <c r="V1139" s="50"/>
      <c r="W1139" s="50"/>
      <c r="X1139" s="50"/>
      <c r="Y1139" s="50"/>
      <c r="Z1139" s="50"/>
      <c r="AA1139" s="50"/>
      <c r="AB1139" s="50"/>
    </row>
    <row r="1140" customHeight="1" spans="1:28">
      <c r="A1140" s="50"/>
      <c r="B1140" s="50"/>
      <c r="C1140" s="50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  <c r="S1140" s="50"/>
      <c r="T1140" s="50"/>
      <c r="U1140" s="50"/>
      <c r="V1140" s="50"/>
      <c r="W1140" s="50"/>
      <c r="X1140" s="50"/>
      <c r="Y1140" s="50"/>
      <c r="Z1140" s="50"/>
      <c r="AA1140" s="50"/>
      <c r="AB1140" s="50"/>
    </row>
    <row r="1141" customHeight="1" spans="1:28">
      <c r="A1141" s="50"/>
      <c r="B1141" s="50"/>
      <c r="C1141" s="50"/>
      <c r="D1141" s="50"/>
      <c r="E1141" s="50"/>
      <c r="F1141" s="50"/>
      <c r="G1141" s="50"/>
      <c r="H1141" s="50"/>
      <c r="I1141" s="50"/>
      <c r="J1141" s="50"/>
      <c r="K1141" s="50"/>
      <c r="L1141" s="50"/>
      <c r="M1141" s="50"/>
      <c r="N1141" s="50"/>
      <c r="O1141" s="50"/>
      <c r="P1141" s="50"/>
      <c r="Q1141" s="50"/>
      <c r="R1141" s="50"/>
      <c r="S1141" s="50"/>
      <c r="T1141" s="50"/>
      <c r="U1141" s="50"/>
      <c r="V1141" s="50"/>
      <c r="W1141" s="50"/>
      <c r="X1141" s="50"/>
      <c r="Y1141" s="50"/>
      <c r="Z1141" s="50"/>
      <c r="AA1141" s="50"/>
      <c r="AB1141" s="50"/>
    </row>
    <row r="1142" customHeight="1" spans="1:28">
      <c r="A1142" s="50"/>
      <c r="B1142" s="50"/>
      <c r="C1142" s="50"/>
      <c r="D1142" s="50"/>
      <c r="E1142" s="50"/>
      <c r="F1142" s="50"/>
      <c r="G1142" s="50"/>
      <c r="H1142" s="50"/>
      <c r="I1142" s="50"/>
      <c r="J1142" s="50"/>
      <c r="K1142" s="50"/>
      <c r="L1142" s="50"/>
      <c r="M1142" s="50"/>
      <c r="N1142" s="50"/>
      <c r="O1142" s="50"/>
      <c r="P1142" s="50"/>
      <c r="Q1142" s="50"/>
      <c r="R1142" s="50"/>
      <c r="S1142" s="50"/>
      <c r="T1142" s="50"/>
      <c r="U1142" s="50"/>
      <c r="V1142" s="50"/>
      <c r="W1142" s="50"/>
      <c r="X1142" s="50"/>
      <c r="Y1142" s="50"/>
      <c r="Z1142" s="50"/>
      <c r="AA1142" s="50"/>
      <c r="AB1142" s="50"/>
    </row>
    <row r="1143" customHeight="1" spans="1:28">
      <c r="A1143" s="50"/>
      <c r="B1143" s="50"/>
      <c r="C1143" s="50"/>
      <c r="D1143" s="50"/>
      <c r="E1143" s="50"/>
      <c r="F1143" s="50"/>
      <c r="G1143" s="50"/>
      <c r="H1143" s="50"/>
      <c r="I1143" s="50"/>
      <c r="J1143" s="50"/>
      <c r="K1143" s="50"/>
      <c r="L1143" s="50"/>
      <c r="M1143" s="50"/>
      <c r="N1143" s="50"/>
      <c r="O1143" s="50"/>
      <c r="P1143" s="50"/>
      <c r="Q1143" s="50"/>
      <c r="R1143" s="50"/>
      <c r="S1143" s="50"/>
      <c r="T1143" s="50"/>
      <c r="U1143" s="50"/>
      <c r="V1143" s="50"/>
      <c r="W1143" s="50"/>
      <c r="X1143" s="50"/>
      <c r="Y1143" s="50"/>
      <c r="Z1143" s="50"/>
      <c r="AA1143" s="50"/>
      <c r="AB1143" s="50"/>
    </row>
    <row r="1144" customHeight="1" spans="1:28">
      <c r="A1144" s="50"/>
      <c r="B1144" s="50"/>
      <c r="C1144" s="50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  <c r="S1144" s="50"/>
      <c r="T1144" s="50"/>
      <c r="U1144" s="50"/>
      <c r="V1144" s="50"/>
      <c r="W1144" s="50"/>
      <c r="X1144" s="50"/>
      <c r="Y1144" s="50"/>
      <c r="Z1144" s="50"/>
      <c r="AA1144" s="50"/>
      <c r="AB1144" s="50"/>
    </row>
    <row r="1145" customHeight="1" spans="1:28">
      <c r="A1145" s="50"/>
      <c r="B1145" s="50"/>
      <c r="C1145" s="50"/>
      <c r="D1145" s="50"/>
      <c r="E1145" s="50"/>
      <c r="F1145" s="50"/>
      <c r="G1145" s="50"/>
      <c r="H1145" s="50"/>
      <c r="I1145" s="50"/>
      <c r="J1145" s="50"/>
      <c r="K1145" s="50"/>
      <c r="L1145" s="50"/>
      <c r="M1145" s="50"/>
      <c r="N1145" s="50"/>
      <c r="O1145" s="50"/>
      <c r="P1145" s="50"/>
      <c r="Q1145" s="50"/>
      <c r="R1145" s="50"/>
      <c r="S1145" s="50"/>
      <c r="T1145" s="50"/>
      <c r="U1145" s="50"/>
      <c r="V1145" s="50"/>
      <c r="W1145" s="50"/>
      <c r="X1145" s="50"/>
      <c r="Y1145" s="50"/>
      <c r="Z1145" s="50"/>
      <c r="AA1145" s="50"/>
      <c r="AB1145" s="50"/>
    </row>
    <row r="1146" customHeight="1" spans="1:28">
      <c r="A1146" s="50"/>
      <c r="B1146" s="50"/>
      <c r="C1146" s="50"/>
      <c r="D1146" s="50"/>
      <c r="E1146" s="50"/>
      <c r="F1146" s="50"/>
      <c r="G1146" s="50"/>
      <c r="H1146" s="50"/>
      <c r="I1146" s="50"/>
      <c r="J1146" s="50"/>
      <c r="K1146" s="50"/>
      <c r="L1146" s="50"/>
      <c r="M1146" s="50"/>
      <c r="N1146" s="50"/>
      <c r="O1146" s="50"/>
      <c r="P1146" s="50"/>
      <c r="Q1146" s="50"/>
      <c r="R1146" s="50"/>
      <c r="S1146" s="50"/>
      <c r="T1146" s="50"/>
      <c r="U1146" s="50"/>
      <c r="V1146" s="50"/>
      <c r="W1146" s="50"/>
      <c r="X1146" s="50"/>
      <c r="Y1146" s="50"/>
      <c r="Z1146" s="50"/>
      <c r="AA1146" s="50"/>
      <c r="AB1146" s="50"/>
    </row>
    <row r="1147" customHeight="1" spans="1:28">
      <c r="A1147" s="50"/>
      <c r="B1147" s="50"/>
      <c r="C1147" s="50"/>
      <c r="D1147" s="50"/>
      <c r="E1147" s="50"/>
      <c r="F1147" s="50"/>
      <c r="G1147" s="50"/>
      <c r="H1147" s="50"/>
      <c r="I1147" s="50"/>
      <c r="J1147" s="50"/>
      <c r="K1147" s="50"/>
      <c r="L1147" s="50"/>
      <c r="M1147" s="50"/>
      <c r="N1147" s="50"/>
      <c r="O1147" s="50"/>
      <c r="P1147" s="50"/>
      <c r="Q1147" s="50"/>
      <c r="R1147" s="50"/>
      <c r="S1147" s="50"/>
      <c r="T1147" s="50"/>
      <c r="U1147" s="50"/>
      <c r="V1147" s="50"/>
      <c r="W1147" s="50"/>
      <c r="X1147" s="50"/>
      <c r="Y1147" s="50"/>
      <c r="Z1147" s="50"/>
      <c r="AA1147" s="50"/>
      <c r="AB1147" s="50"/>
    </row>
    <row r="1148" customHeight="1" spans="1:28">
      <c r="A1148" s="50"/>
      <c r="B1148" s="50"/>
      <c r="C1148" s="50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  <c r="S1148" s="50"/>
      <c r="T1148" s="50"/>
      <c r="U1148" s="50"/>
      <c r="V1148" s="50"/>
      <c r="W1148" s="50"/>
      <c r="X1148" s="50"/>
      <c r="Y1148" s="50"/>
      <c r="Z1148" s="50"/>
      <c r="AA1148" s="50"/>
      <c r="AB1148" s="50"/>
    </row>
    <row r="1149" customHeight="1" spans="1:28">
      <c r="A1149" s="50"/>
      <c r="B1149" s="50"/>
      <c r="C1149" s="50"/>
      <c r="D1149" s="50"/>
      <c r="E1149" s="50"/>
      <c r="F1149" s="50"/>
      <c r="G1149" s="50"/>
      <c r="H1149" s="50"/>
      <c r="I1149" s="50"/>
      <c r="J1149" s="50"/>
      <c r="K1149" s="50"/>
      <c r="L1149" s="50"/>
      <c r="M1149" s="50"/>
      <c r="N1149" s="50"/>
      <c r="O1149" s="50"/>
      <c r="P1149" s="50"/>
      <c r="Q1149" s="50"/>
      <c r="R1149" s="50"/>
      <c r="S1149" s="50"/>
      <c r="T1149" s="50"/>
      <c r="U1149" s="50"/>
      <c r="V1149" s="50"/>
      <c r="W1149" s="50"/>
      <c r="X1149" s="50"/>
      <c r="Y1149" s="50"/>
      <c r="Z1149" s="50"/>
      <c r="AA1149" s="50"/>
      <c r="AB1149" s="50"/>
    </row>
    <row r="1150" customHeight="1" spans="1:28">
      <c r="A1150" s="50"/>
      <c r="B1150" s="50"/>
      <c r="C1150" s="50"/>
      <c r="D1150" s="50"/>
      <c r="E1150" s="50"/>
      <c r="F1150" s="50"/>
      <c r="G1150" s="50"/>
      <c r="H1150" s="50"/>
      <c r="I1150" s="50"/>
      <c r="J1150" s="50"/>
      <c r="K1150" s="50"/>
      <c r="L1150" s="50"/>
      <c r="M1150" s="50"/>
      <c r="N1150" s="50"/>
      <c r="O1150" s="50"/>
      <c r="P1150" s="50"/>
      <c r="Q1150" s="50"/>
      <c r="R1150" s="50"/>
      <c r="S1150" s="50"/>
      <c r="T1150" s="50"/>
      <c r="U1150" s="50"/>
      <c r="V1150" s="50"/>
      <c r="W1150" s="50"/>
      <c r="X1150" s="50"/>
      <c r="Y1150" s="50"/>
      <c r="Z1150" s="50"/>
      <c r="AA1150" s="50"/>
      <c r="AB1150" s="50"/>
    </row>
    <row r="1151" customHeight="1" spans="1:28">
      <c r="A1151" s="50"/>
      <c r="B1151" s="50"/>
      <c r="C1151" s="50"/>
      <c r="D1151" s="50"/>
      <c r="E1151" s="50"/>
      <c r="F1151" s="50"/>
      <c r="G1151" s="50"/>
      <c r="H1151" s="50"/>
      <c r="I1151" s="50"/>
      <c r="J1151" s="50"/>
      <c r="K1151" s="50"/>
      <c r="L1151" s="50"/>
      <c r="M1151" s="50"/>
      <c r="N1151" s="50"/>
      <c r="O1151" s="50"/>
      <c r="P1151" s="50"/>
      <c r="Q1151" s="50"/>
      <c r="R1151" s="50"/>
      <c r="S1151" s="50"/>
      <c r="T1151" s="50"/>
      <c r="U1151" s="50"/>
      <c r="V1151" s="50"/>
      <c r="W1151" s="50"/>
      <c r="X1151" s="50"/>
      <c r="Y1151" s="50"/>
      <c r="Z1151" s="50"/>
      <c r="AA1151" s="50"/>
      <c r="AB1151" s="50"/>
    </row>
    <row r="1152" customHeight="1" spans="1:28">
      <c r="A1152" s="50"/>
      <c r="B1152" s="50"/>
      <c r="C1152" s="50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  <c r="S1152" s="50"/>
      <c r="T1152" s="50"/>
      <c r="U1152" s="50"/>
      <c r="V1152" s="50"/>
      <c r="W1152" s="50"/>
      <c r="X1152" s="50"/>
      <c r="Y1152" s="50"/>
      <c r="Z1152" s="50"/>
      <c r="AA1152" s="50"/>
      <c r="AB1152" s="50"/>
    </row>
    <row r="1153" customHeight="1" spans="1:28">
      <c r="A1153" s="50"/>
      <c r="B1153" s="50"/>
      <c r="C1153" s="50"/>
      <c r="D1153" s="50"/>
      <c r="E1153" s="50"/>
      <c r="F1153" s="50"/>
      <c r="G1153" s="50"/>
      <c r="H1153" s="50"/>
      <c r="I1153" s="50"/>
      <c r="J1153" s="50"/>
      <c r="K1153" s="50"/>
      <c r="L1153" s="50"/>
      <c r="M1153" s="50"/>
      <c r="N1153" s="50"/>
      <c r="O1153" s="50"/>
      <c r="P1153" s="50"/>
      <c r="Q1153" s="50"/>
      <c r="R1153" s="50"/>
      <c r="S1153" s="50"/>
      <c r="T1153" s="50"/>
      <c r="U1153" s="50"/>
      <c r="V1153" s="50"/>
      <c r="W1153" s="50"/>
      <c r="X1153" s="50"/>
      <c r="Y1153" s="50"/>
      <c r="Z1153" s="50"/>
      <c r="AA1153" s="50"/>
      <c r="AB1153" s="50"/>
    </row>
    <row r="1154" customHeight="1" spans="1:28">
      <c r="A1154" s="50"/>
      <c r="B1154" s="50"/>
      <c r="C1154" s="50"/>
      <c r="D1154" s="50"/>
      <c r="E1154" s="50"/>
      <c r="F1154" s="50"/>
      <c r="G1154" s="50"/>
      <c r="H1154" s="50"/>
      <c r="I1154" s="50"/>
      <c r="J1154" s="50"/>
      <c r="K1154" s="50"/>
      <c r="L1154" s="50"/>
      <c r="M1154" s="50"/>
      <c r="N1154" s="50"/>
      <c r="O1154" s="50"/>
      <c r="P1154" s="50"/>
      <c r="Q1154" s="50"/>
      <c r="R1154" s="50"/>
      <c r="S1154" s="50"/>
      <c r="T1154" s="50"/>
      <c r="U1154" s="50"/>
      <c r="V1154" s="50"/>
      <c r="W1154" s="50"/>
      <c r="X1154" s="50"/>
      <c r="Y1154" s="50"/>
      <c r="Z1154" s="50"/>
      <c r="AA1154" s="50"/>
      <c r="AB1154" s="50"/>
    </row>
    <row r="1155" customHeight="1" spans="1:28">
      <c r="A1155" s="50"/>
      <c r="B1155" s="50"/>
      <c r="C1155" s="50"/>
      <c r="D1155" s="50"/>
      <c r="E1155" s="50"/>
      <c r="F1155" s="50"/>
      <c r="G1155" s="50"/>
      <c r="H1155" s="50"/>
      <c r="I1155" s="50"/>
      <c r="J1155" s="50"/>
      <c r="K1155" s="50"/>
      <c r="L1155" s="50"/>
      <c r="M1155" s="50"/>
      <c r="N1155" s="50"/>
      <c r="O1155" s="50"/>
      <c r="P1155" s="50"/>
      <c r="Q1155" s="50"/>
      <c r="R1155" s="50"/>
      <c r="S1155" s="50"/>
      <c r="T1155" s="50"/>
      <c r="U1155" s="50"/>
      <c r="V1155" s="50"/>
      <c r="W1155" s="50"/>
      <c r="X1155" s="50"/>
      <c r="Y1155" s="50"/>
      <c r="Z1155" s="50"/>
      <c r="AA1155" s="50"/>
      <c r="AB1155" s="50"/>
    </row>
    <row r="1156" customHeight="1" spans="1:28">
      <c r="A1156" s="50"/>
      <c r="B1156" s="50"/>
      <c r="C1156" s="50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  <c r="S1156" s="50"/>
      <c r="T1156" s="50"/>
      <c r="U1156" s="50"/>
      <c r="V1156" s="50"/>
      <c r="W1156" s="50"/>
      <c r="X1156" s="50"/>
      <c r="Y1156" s="50"/>
      <c r="Z1156" s="50"/>
      <c r="AA1156" s="50"/>
      <c r="AB1156" s="50"/>
    </row>
    <row r="1157" customHeight="1" spans="1:28">
      <c r="A1157" s="50"/>
      <c r="B1157" s="50"/>
      <c r="C1157" s="50"/>
      <c r="D1157" s="50"/>
      <c r="E1157" s="50"/>
      <c r="F1157" s="50"/>
      <c r="G1157" s="50"/>
      <c r="H1157" s="50"/>
      <c r="I1157" s="50"/>
      <c r="J1157" s="50"/>
      <c r="K1157" s="50"/>
      <c r="L1157" s="50"/>
      <c r="M1157" s="50"/>
      <c r="N1157" s="50"/>
      <c r="O1157" s="50"/>
      <c r="P1157" s="50"/>
      <c r="Q1157" s="50"/>
      <c r="R1157" s="50"/>
      <c r="S1157" s="50"/>
      <c r="T1157" s="50"/>
      <c r="U1157" s="50"/>
      <c r="V1157" s="50"/>
      <c r="W1157" s="50"/>
      <c r="X1157" s="50"/>
      <c r="Y1157" s="50"/>
      <c r="Z1157" s="50"/>
      <c r="AA1157" s="50"/>
      <c r="AB1157" s="50"/>
    </row>
    <row r="1158" customHeight="1" spans="1:28">
      <c r="A1158" s="50"/>
      <c r="B1158" s="50"/>
      <c r="C1158" s="50"/>
      <c r="D1158" s="50"/>
      <c r="E1158" s="50"/>
      <c r="F1158" s="50"/>
      <c r="G1158" s="50"/>
      <c r="H1158" s="50"/>
      <c r="I1158" s="50"/>
      <c r="J1158" s="50"/>
      <c r="K1158" s="50"/>
      <c r="L1158" s="50"/>
      <c r="M1158" s="50"/>
      <c r="N1158" s="50"/>
      <c r="O1158" s="50"/>
      <c r="P1158" s="50"/>
      <c r="Q1158" s="50"/>
      <c r="R1158" s="50"/>
      <c r="S1158" s="50"/>
      <c r="T1158" s="50"/>
      <c r="U1158" s="50"/>
      <c r="V1158" s="50"/>
      <c r="W1158" s="50"/>
      <c r="X1158" s="50"/>
      <c r="Y1158" s="50"/>
      <c r="Z1158" s="50"/>
      <c r="AA1158" s="50"/>
      <c r="AB1158" s="50"/>
    </row>
    <row r="1159" customHeight="1" spans="1:28">
      <c r="A1159" s="50"/>
      <c r="B1159" s="50"/>
      <c r="C1159" s="50"/>
      <c r="D1159" s="50"/>
      <c r="E1159" s="50"/>
      <c r="F1159" s="50"/>
      <c r="G1159" s="50"/>
      <c r="H1159" s="50"/>
      <c r="I1159" s="50"/>
      <c r="J1159" s="50"/>
      <c r="K1159" s="50"/>
      <c r="L1159" s="50"/>
      <c r="M1159" s="50"/>
      <c r="N1159" s="50"/>
      <c r="O1159" s="50"/>
      <c r="P1159" s="50"/>
      <c r="Q1159" s="50"/>
      <c r="R1159" s="50"/>
      <c r="S1159" s="50"/>
      <c r="T1159" s="50"/>
      <c r="U1159" s="50"/>
      <c r="V1159" s="50"/>
      <c r="W1159" s="50"/>
      <c r="X1159" s="50"/>
      <c r="Y1159" s="50"/>
      <c r="Z1159" s="50"/>
      <c r="AA1159" s="50"/>
      <c r="AB1159" s="50"/>
    </row>
    <row r="1160" customHeight="1" spans="1:28">
      <c r="A1160" s="50"/>
      <c r="B1160" s="50"/>
      <c r="C1160" s="50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  <c r="S1160" s="50"/>
      <c r="T1160" s="50"/>
      <c r="U1160" s="50"/>
      <c r="V1160" s="50"/>
      <c r="W1160" s="50"/>
      <c r="X1160" s="50"/>
      <c r="Y1160" s="50"/>
      <c r="Z1160" s="50"/>
      <c r="AA1160" s="50"/>
      <c r="AB1160" s="50"/>
    </row>
    <row r="1161" customHeight="1" spans="1:28">
      <c r="A1161" s="50"/>
      <c r="B1161" s="50"/>
      <c r="C1161" s="50"/>
      <c r="D1161" s="50"/>
      <c r="E1161" s="50"/>
      <c r="F1161" s="50"/>
      <c r="G1161" s="50"/>
      <c r="H1161" s="50"/>
      <c r="I1161" s="50"/>
      <c r="J1161" s="50"/>
      <c r="K1161" s="50"/>
      <c r="L1161" s="50"/>
      <c r="M1161" s="50"/>
      <c r="N1161" s="50"/>
      <c r="O1161" s="50"/>
      <c r="P1161" s="50"/>
      <c r="Q1161" s="50"/>
      <c r="R1161" s="50"/>
      <c r="S1161" s="50"/>
      <c r="T1161" s="50"/>
      <c r="U1161" s="50"/>
      <c r="V1161" s="50"/>
      <c r="W1161" s="50"/>
      <c r="X1161" s="50"/>
      <c r="Y1161" s="50"/>
      <c r="Z1161" s="50"/>
      <c r="AA1161" s="50"/>
      <c r="AB1161" s="50"/>
    </row>
    <row r="1162" customHeight="1" spans="1:28">
      <c r="A1162" s="50"/>
      <c r="B1162" s="50"/>
      <c r="C1162" s="50"/>
      <c r="D1162" s="50"/>
      <c r="E1162" s="50"/>
      <c r="F1162" s="50"/>
      <c r="G1162" s="50"/>
      <c r="H1162" s="50"/>
      <c r="I1162" s="50"/>
      <c r="J1162" s="50"/>
      <c r="K1162" s="50"/>
      <c r="L1162" s="50"/>
      <c r="M1162" s="50"/>
      <c r="N1162" s="50"/>
      <c r="O1162" s="50"/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0"/>
      <c r="AA1162" s="50"/>
      <c r="AB1162" s="50"/>
    </row>
    <row r="1163" customHeight="1" spans="1:28">
      <c r="A1163" s="50"/>
      <c r="B1163" s="50"/>
      <c r="C1163" s="50"/>
      <c r="D1163" s="50"/>
      <c r="E1163" s="50"/>
      <c r="F1163" s="50"/>
      <c r="G1163" s="50"/>
      <c r="H1163" s="50"/>
      <c r="I1163" s="50"/>
      <c r="J1163" s="50"/>
      <c r="K1163" s="50"/>
      <c r="L1163" s="50"/>
      <c r="M1163" s="50"/>
      <c r="N1163" s="50"/>
      <c r="O1163" s="50"/>
      <c r="P1163" s="50"/>
      <c r="Q1163" s="50"/>
      <c r="R1163" s="50"/>
      <c r="S1163" s="50"/>
      <c r="T1163" s="50"/>
      <c r="U1163" s="50"/>
      <c r="V1163" s="50"/>
      <c r="W1163" s="50"/>
      <c r="X1163" s="50"/>
      <c r="Y1163" s="50"/>
      <c r="Z1163" s="50"/>
      <c r="AA1163" s="50"/>
      <c r="AB1163" s="50"/>
    </row>
    <row r="1164" customHeight="1" spans="1:28">
      <c r="A1164" s="50"/>
      <c r="B1164" s="50"/>
      <c r="C1164" s="50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  <c r="S1164" s="50"/>
      <c r="T1164" s="50"/>
      <c r="U1164" s="50"/>
      <c r="V1164" s="50"/>
      <c r="W1164" s="50"/>
      <c r="X1164" s="50"/>
      <c r="Y1164" s="50"/>
      <c r="Z1164" s="50"/>
      <c r="AA1164" s="50"/>
      <c r="AB1164" s="50"/>
    </row>
    <row r="1165" customHeight="1" spans="1:28">
      <c r="A1165" s="50"/>
      <c r="B1165" s="50"/>
      <c r="C1165" s="50"/>
      <c r="D1165" s="50"/>
      <c r="E1165" s="50"/>
      <c r="F1165" s="50"/>
      <c r="G1165" s="50"/>
      <c r="H1165" s="50"/>
      <c r="I1165" s="50"/>
      <c r="J1165" s="50"/>
      <c r="K1165" s="50"/>
      <c r="L1165" s="50"/>
      <c r="M1165" s="50"/>
      <c r="N1165" s="50"/>
      <c r="O1165" s="50"/>
      <c r="P1165" s="50"/>
      <c r="Q1165" s="50"/>
      <c r="R1165" s="50"/>
      <c r="S1165" s="50"/>
      <c r="T1165" s="50"/>
      <c r="U1165" s="50"/>
      <c r="V1165" s="50"/>
      <c r="W1165" s="50"/>
      <c r="X1165" s="50"/>
      <c r="Y1165" s="50"/>
      <c r="Z1165" s="50"/>
      <c r="AA1165" s="50"/>
      <c r="AB1165" s="50"/>
    </row>
    <row r="1166" customHeight="1" spans="1:28">
      <c r="A1166" s="50"/>
      <c r="B1166" s="50"/>
      <c r="C1166" s="50"/>
      <c r="D1166" s="50"/>
      <c r="E1166" s="50"/>
      <c r="F1166" s="50"/>
      <c r="G1166" s="50"/>
      <c r="H1166" s="50"/>
      <c r="I1166" s="50"/>
      <c r="J1166" s="50"/>
      <c r="K1166" s="50"/>
      <c r="L1166" s="50"/>
      <c r="M1166" s="50"/>
      <c r="N1166" s="50"/>
      <c r="O1166" s="50"/>
      <c r="P1166" s="50"/>
      <c r="Q1166" s="50"/>
      <c r="R1166" s="50"/>
      <c r="S1166" s="50"/>
      <c r="T1166" s="50"/>
      <c r="U1166" s="50"/>
      <c r="V1166" s="50"/>
      <c r="W1166" s="50"/>
      <c r="X1166" s="50"/>
      <c r="Y1166" s="50"/>
      <c r="Z1166" s="50"/>
      <c r="AA1166" s="50"/>
      <c r="AB1166" s="50"/>
    </row>
    <row r="1167" customHeight="1" spans="1:28">
      <c r="A1167" s="50"/>
      <c r="B1167" s="50"/>
      <c r="C1167" s="50"/>
      <c r="D1167" s="50"/>
      <c r="E1167" s="50"/>
      <c r="F1167" s="50"/>
      <c r="G1167" s="50"/>
      <c r="H1167" s="50"/>
      <c r="I1167" s="50"/>
      <c r="J1167" s="50"/>
      <c r="K1167" s="50"/>
      <c r="L1167" s="50"/>
      <c r="M1167" s="50"/>
      <c r="N1167" s="50"/>
      <c r="O1167" s="50"/>
      <c r="P1167" s="50"/>
      <c r="Q1167" s="50"/>
      <c r="R1167" s="50"/>
      <c r="S1167" s="50"/>
      <c r="T1167" s="50"/>
      <c r="U1167" s="50"/>
      <c r="V1167" s="50"/>
      <c r="W1167" s="50"/>
      <c r="X1167" s="50"/>
      <c r="Y1167" s="50"/>
      <c r="Z1167" s="50"/>
      <c r="AA1167" s="50"/>
      <c r="AB1167" s="50"/>
    </row>
    <row r="1168" customHeight="1" spans="1:28">
      <c r="A1168" s="50"/>
      <c r="B1168" s="50"/>
      <c r="C1168" s="50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  <c r="S1168" s="50"/>
      <c r="T1168" s="50"/>
      <c r="U1168" s="50"/>
      <c r="V1168" s="50"/>
      <c r="W1168" s="50"/>
      <c r="X1168" s="50"/>
      <c r="Y1168" s="50"/>
      <c r="Z1168" s="50"/>
      <c r="AA1168" s="50"/>
      <c r="AB1168" s="50"/>
    </row>
    <row r="1169" customHeight="1" spans="1:28">
      <c r="A1169" s="50"/>
      <c r="B1169" s="50"/>
      <c r="C1169" s="50"/>
      <c r="D1169" s="50"/>
      <c r="E1169" s="50"/>
      <c r="F1169" s="50"/>
      <c r="G1169" s="50"/>
      <c r="H1169" s="50"/>
      <c r="I1169" s="50"/>
      <c r="J1169" s="50"/>
      <c r="K1169" s="50"/>
      <c r="L1169" s="50"/>
      <c r="M1169" s="50"/>
      <c r="N1169" s="50"/>
      <c r="O1169" s="50"/>
      <c r="P1169" s="50"/>
      <c r="Q1169" s="50"/>
      <c r="R1169" s="50"/>
      <c r="S1169" s="50"/>
      <c r="T1169" s="50"/>
      <c r="U1169" s="50"/>
      <c r="V1169" s="50"/>
      <c r="W1169" s="50"/>
      <c r="X1169" s="50"/>
      <c r="Y1169" s="50"/>
      <c r="Z1169" s="50"/>
      <c r="AA1169" s="50"/>
      <c r="AB1169" s="50"/>
    </row>
    <row r="1170" customHeight="1" spans="1:28">
      <c r="A1170" s="50"/>
      <c r="B1170" s="50"/>
      <c r="C1170" s="50"/>
      <c r="D1170" s="50"/>
      <c r="E1170" s="50"/>
      <c r="F1170" s="50"/>
      <c r="G1170" s="50"/>
      <c r="H1170" s="50"/>
      <c r="I1170" s="50"/>
      <c r="J1170" s="50"/>
      <c r="K1170" s="50"/>
      <c r="L1170" s="50"/>
      <c r="M1170" s="50"/>
      <c r="N1170" s="50"/>
      <c r="O1170" s="50"/>
      <c r="P1170" s="50"/>
      <c r="Q1170" s="50"/>
      <c r="R1170" s="50"/>
      <c r="S1170" s="50"/>
      <c r="T1170" s="50"/>
      <c r="U1170" s="50"/>
      <c r="V1170" s="50"/>
      <c r="W1170" s="50"/>
      <c r="X1170" s="50"/>
      <c r="Y1170" s="50"/>
      <c r="Z1170" s="50"/>
      <c r="AA1170" s="50"/>
      <c r="AB1170" s="50"/>
    </row>
    <row r="1171" customHeight="1" spans="1:28">
      <c r="A1171" s="50"/>
      <c r="B1171" s="50"/>
      <c r="C1171" s="50"/>
      <c r="D1171" s="50"/>
      <c r="E1171" s="50"/>
      <c r="F1171" s="50"/>
      <c r="G1171" s="50"/>
      <c r="H1171" s="50"/>
      <c r="I1171" s="50"/>
      <c r="J1171" s="50"/>
      <c r="K1171" s="50"/>
      <c r="L1171" s="50"/>
      <c r="M1171" s="50"/>
      <c r="N1171" s="50"/>
      <c r="O1171" s="50"/>
      <c r="P1171" s="50"/>
      <c r="Q1171" s="50"/>
      <c r="R1171" s="50"/>
      <c r="S1171" s="50"/>
      <c r="T1171" s="50"/>
      <c r="U1171" s="50"/>
      <c r="V1171" s="50"/>
      <c r="W1171" s="50"/>
      <c r="X1171" s="50"/>
      <c r="Y1171" s="50"/>
      <c r="Z1171" s="50"/>
      <c r="AA1171" s="50"/>
      <c r="AB1171" s="50"/>
    </row>
    <row r="1172" customHeight="1" spans="1:28">
      <c r="A1172" s="50"/>
      <c r="B1172" s="50"/>
      <c r="C1172" s="50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  <c r="S1172" s="50"/>
      <c r="T1172" s="50"/>
      <c r="U1172" s="50"/>
      <c r="V1172" s="50"/>
      <c r="W1172" s="50"/>
      <c r="X1172" s="50"/>
      <c r="Y1172" s="50"/>
      <c r="Z1172" s="50"/>
      <c r="AA1172" s="50"/>
      <c r="AB1172" s="50"/>
    </row>
    <row r="1173" customHeight="1" spans="1:28">
      <c r="A1173" s="50"/>
      <c r="B1173" s="50"/>
      <c r="C1173" s="50"/>
      <c r="D1173" s="50"/>
      <c r="E1173" s="50"/>
      <c r="F1173" s="50"/>
      <c r="G1173" s="50"/>
      <c r="H1173" s="50"/>
      <c r="I1173" s="50"/>
      <c r="J1173" s="50"/>
      <c r="K1173" s="50"/>
      <c r="L1173" s="50"/>
      <c r="M1173" s="50"/>
      <c r="N1173" s="50"/>
      <c r="O1173" s="50"/>
      <c r="P1173" s="50"/>
      <c r="Q1173" s="50"/>
      <c r="R1173" s="50"/>
      <c r="S1173" s="50"/>
      <c r="T1173" s="50"/>
      <c r="U1173" s="50"/>
      <c r="V1173" s="50"/>
      <c r="W1173" s="50"/>
      <c r="X1173" s="50"/>
      <c r="Y1173" s="50"/>
      <c r="Z1173" s="50"/>
      <c r="AA1173" s="50"/>
      <c r="AB1173" s="50"/>
    </row>
    <row r="1174" customHeight="1" spans="1:28">
      <c r="A1174" s="50"/>
      <c r="B1174" s="50"/>
      <c r="C1174" s="50"/>
      <c r="D1174" s="50"/>
      <c r="E1174" s="50"/>
      <c r="F1174" s="50"/>
      <c r="G1174" s="50"/>
      <c r="H1174" s="50"/>
      <c r="I1174" s="50"/>
      <c r="J1174" s="50"/>
      <c r="K1174" s="50"/>
      <c r="L1174" s="50"/>
      <c r="M1174" s="50"/>
      <c r="N1174" s="50"/>
      <c r="O1174" s="50"/>
      <c r="P1174" s="50"/>
      <c r="Q1174" s="50"/>
      <c r="R1174" s="50"/>
      <c r="S1174" s="50"/>
      <c r="T1174" s="50"/>
      <c r="U1174" s="50"/>
      <c r="V1174" s="50"/>
      <c r="W1174" s="50"/>
      <c r="X1174" s="50"/>
      <c r="Y1174" s="50"/>
      <c r="Z1174" s="50"/>
      <c r="AA1174" s="50"/>
      <c r="AB1174" s="50"/>
    </row>
    <row r="1175" customHeight="1" spans="1:28">
      <c r="A1175" s="50"/>
      <c r="B1175" s="50"/>
      <c r="C1175" s="50"/>
      <c r="D1175" s="50"/>
      <c r="E1175" s="50"/>
      <c r="F1175" s="50"/>
      <c r="G1175" s="50"/>
      <c r="H1175" s="50"/>
      <c r="I1175" s="50"/>
      <c r="J1175" s="50"/>
      <c r="K1175" s="50"/>
      <c r="L1175" s="50"/>
      <c r="M1175" s="50"/>
      <c r="N1175" s="50"/>
      <c r="O1175" s="50"/>
      <c r="P1175" s="50"/>
      <c r="Q1175" s="50"/>
      <c r="R1175" s="50"/>
      <c r="S1175" s="50"/>
      <c r="T1175" s="50"/>
      <c r="U1175" s="50"/>
      <c r="V1175" s="50"/>
      <c r="W1175" s="50"/>
      <c r="X1175" s="50"/>
      <c r="Y1175" s="50"/>
      <c r="Z1175" s="50"/>
      <c r="AA1175" s="50"/>
      <c r="AB1175" s="50"/>
    </row>
    <row r="1176" customHeight="1" spans="1:28">
      <c r="A1176" s="50"/>
      <c r="B1176" s="50"/>
      <c r="C1176" s="50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  <c r="S1176" s="50"/>
      <c r="T1176" s="50"/>
      <c r="U1176" s="50"/>
      <c r="V1176" s="50"/>
      <c r="W1176" s="50"/>
      <c r="X1176" s="50"/>
      <c r="Y1176" s="50"/>
      <c r="Z1176" s="50"/>
      <c r="AA1176" s="50"/>
      <c r="AB1176" s="50"/>
    </row>
    <row r="1177" customHeight="1" spans="1:28">
      <c r="A1177" s="50"/>
      <c r="B1177" s="50"/>
      <c r="C1177" s="50"/>
      <c r="D1177" s="50"/>
      <c r="E1177" s="50"/>
      <c r="F1177" s="50"/>
      <c r="G1177" s="50"/>
      <c r="H1177" s="50"/>
      <c r="I1177" s="50"/>
      <c r="J1177" s="50"/>
      <c r="K1177" s="50"/>
      <c r="L1177" s="50"/>
      <c r="M1177" s="50"/>
      <c r="N1177" s="50"/>
      <c r="O1177" s="50"/>
      <c r="P1177" s="50"/>
      <c r="Q1177" s="50"/>
      <c r="R1177" s="50"/>
      <c r="S1177" s="50"/>
      <c r="T1177" s="50"/>
      <c r="U1177" s="50"/>
      <c r="V1177" s="50"/>
      <c r="W1177" s="50"/>
      <c r="X1177" s="50"/>
      <c r="Y1177" s="50"/>
      <c r="Z1177" s="50"/>
      <c r="AA1177" s="50"/>
      <c r="AB1177" s="50"/>
    </row>
    <row r="1178" customHeight="1" spans="1:28">
      <c r="A1178" s="50"/>
      <c r="B1178" s="50"/>
      <c r="C1178" s="50"/>
      <c r="D1178" s="50"/>
      <c r="E1178" s="50"/>
      <c r="F1178" s="50"/>
      <c r="G1178" s="50"/>
      <c r="H1178" s="50"/>
      <c r="I1178" s="50"/>
      <c r="J1178" s="50"/>
      <c r="K1178" s="50"/>
      <c r="L1178" s="50"/>
      <c r="M1178" s="50"/>
      <c r="N1178" s="50"/>
      <c r="O1178" s="50"/>
      <c r="P1178" s="50"/>
      <c r="Q1178" s="50"/>
      <c r="R1178" s="50"/>
      <c r="S1178" s="50"/>
      <c r="T1178" s="50"/>
      <c r="U1178" s="50"/>
      <c r="V1178" s="50"/>
      <c r="W1178" s="50"/>
      <c r="X1178" s="50"/>
      <c r="Y1178" s="50"/>
      <c r="Z1178" s="50"/>
      <c r="AA1178" s="50"/>
      <c r="AB1178" s="50"/>
    </row>
    <row r="1179" customHeight="1" spans="1:28">
      <c r="A1179" s="50"/>
      <c r="B1179" s="50"/>
      <c r="C1179" s="50"/>
      <c r="D1179" s="50"/>
      <c r="E1179" s="50"/>
      <c r="F1179" s="50"/>
      <c r="G1179" s="50"/>
      <c r="H1179" s="50"/>
      <c r="I1179" s="50"/>
      <c r="J1179" s="50"/>
      <c r="K1179" s="50"/>
      <c r="L1179" s="50"/>
      <c r="M1179" s="50"/>
      <c r="N1179" s="50"/>
      <c r="O1179" s="50"/>
      <c r="P1179" s="50"/>
      <c r="Q1179" s="50"/>
      <c r="R1179" s="50"/>
      <c r="S1179" s="50"/>
      <c r="T1179" s="50"/>
      <c r="U1179" s="50"/>
      <c r="V1179" s="50"/>
      <c r="W1179" s="50"/>
      <c r="X1179" s="50"/>
      <c r="Y1179" s="50"/>
      <c r="Z1179" s="50"/>
      <c r="AA1179" s="50"/>
      <c r="AB1179" s="50"/>
    </row>
    <row r="1180" customHeight="1" spans="1:28">
      <c r="A1180" s="50"/>
      <c r="B1180" s="50"/>
      <c r="C1180" s="50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  <c r="S1180" s="50"/>
      <c r="T1180" s="50"/>
      <c r="U1180" s="50"/>
      <c r="V1180" s="50"/>
      <c r="W1180" s="50"/>
      <c r="X1180" s="50"/>
      <c r="Y1180" s="50"/>
      <c r="Z1180" s="50"/>
      <c r="AA1180" s="50"/>
      <c r="AB1180" s="50"/>
    </row>
    <row r="1181" customHeight="1" spans="1:28">
      <c r="A1181" s="50"/>
      <c r="B1181" s="50"/>
      <c r="C1181" s="50"/>
      <c r="D1181" s="50"/>
      <c r="E1181" s="50"/>
      <c r="F1181" s="50"/>
      <c r="G1181" s="50"/>
      <c r="H1181" s="50"/>
      <c r="I1181" s="50"/>
      <c r="J1181" s="50"/>
      <c r="K1181" s="50"/>
      <c r="L1181" s="50"/>
      <c r="M1181" s="50"/>
      <c r="N1181" s="50"/>
      <c r="O1181" s="50"/>
      <c r="P1181" s="50"/>
      <c r="Q1181" s="50"/>
      <c r="R1181" s="50"/>
      <c r="S1181" s="50"/>
      <c r="T1181" s="50"/>
      <c r="U1181" s="50"/>
      <c r="V1181" s="50"/>
      <c r="W1181" s="50"/>
      <c r="X1181" s="50"/>
      <c r="Y1181" s="50"/>
      <c r="Z1181" s="50"/>
      <c r="AA1181" s="50"/>
      <c r="AB1181" s="50"/>
    </row>
    <row r="1182" customHeight="1" spans="1:28">
      <c r="A1182" s="50"/>
      <c r="B1182" s="50"/>
      <c r="C1182" s="50"/>
      <c r="D1182" s="50"/>
      <c r="E1182" s="50"/>
      <c r="F1182" s="50"/>
      <c r="G1182" s="50"/>
      <c r="H1182" s="50"/>
      <c r="I1182" s="50"/>
      <c r="J1182" s="50"/>
      <c r="K1182" s="50"/>
      <c r="L1182" s="50"/>
      <c r="M1182" s="50"/>
      <c r="N1182" s="50"/>
      <c r="O1182" s="50"/>
      <c r="P1182" s="50"/>
      <c r="Q1182" s="50"/>
      <c r="R1182" s="50"/>
      <c r="S1182" s="50"/>
      <c r="T1182" s="50"/>
      <c r="U1182" s="50"/>
      <c r="V1182" s="50"/>
      <c r="W1182" s="50"/>
      <c r="X1182" s="50"/>
      <c r="Y1182" s="50"/>
      <c r="Z1182" s="50"/>
      <c r="AA1182" s="50"/>
      <c r="AB1182" s="50"/>
    </row>
    <row r="1183" customHeight="1" spans="1:28">
      <c r="A1183" s="50"/>
      <c r="B1183" s="50"/>
      <c r="C1183" s="50"/>
      <c r="D1183" s="50"/>
      <c r="E1183" s="50"/>
      <c r="F1183" s="50"/>
      <c r="G1183" s="50"/>
      <c r="H1183" s="50"/>
      <c r="I1183" s="50"/>
      <c r="J1183" s="50"/>
      <c r="K1183" s="50"/>
      <c r="L1183" s="50"/>
      <c r="M1183" s="50"/>
      <c r="N1183" s="50"/>
      <c r="O1183" s="50"/>
      <c r="P1183" s="50"/>
      <c r="Q1183" s="50"/>
      <c r="R1183" s="50"/>
      <c r="S1183" s="50"/>
      <c r="T1183" s="50"/>
      <c r="U1183" s="50"/>
      <c r="V1183" s="50"/>
      <c r="W1183" s="50"/>
      <c r="X1183" s="50"/>
      <c r="Y1183" s="50"/>
      <c r="Z1183" s="50"/>
      <c r="AA1183" s="50"/>
      <c r="AB1183" s="50"/>
    </row>
    <row r="1184" customHeight="1" spans="1:28">
      <c r="A1184" s="50"/>
      <c r="B1184" s="50"/>
      <c r="C1184" s="50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  <c r="S1184" s="50"/>
      <c r="T1184" s="50"/>
      <c r="U1184" s="50"/>
      <c r="V1184" s="50"/>
      <c r="W1184" s="50"/>
      <c r="X1184" s="50"/>
      <c r="Y1184" s="50"/>
      <c r="Z1184" s="50"/>
      <c r="AA1184" s="50"/>
      <c r="AB1184" s="50"/>
    </row>
    <row r="1185" customHeight="1" spans="1:28">
      <c r="A1185" s="50"/>
      <c r="B1185" s="50"/>
      <c r="C1185" s="50"/>
      <c r="D1185" s="50"/>
      <c r="E1185" s="50"/>
      <c r="F1185" s="50"/>
      <c r="G1185" s="50"/>
      <c r="H1185" s="50"/>
      <c r="I1185" s="50"/>
      <c r="J1185" s="50"/>
      <c r="K1185" s="50"/>
      <c r="L1185" s="50"/>
      <c r="M1185" s="50"/>
      <c r="N1185" s="50"/>
      <c r="O1185" s="50"/>
      <c r="P1185" s="50"/>
      <c r="Q1185" s="50"/>
      <c r="R1185" s="50"/>
      <c r="S1185" s="50"/>
      <c r="T1185" s="50"/>
      <c r="U1185" s="50"/>
      <c r="V1185" s="50"/>
      <c r="W1185" s="50"/>
      <c r="X1185" s="50"/>
      <c r="Y1185" s="50"/>
      <c r="Z1185" s="50"/>
      <c r="AA1185" s="50"/>
      <c r="AB1185" s="50"/>
    </row>
    <row r="1186" customHeight="1" spans="1:28">
      <c r="A1186" s="50"/>
      <c r="B1186" s="50"/>
      <c r="C1186" s="50"/>
      <c r="D1186" s="50"/>
      <c r="E1186" s="50"/>
      <c r="F1186" s="50"/>
      <c r="G1186" s="50"/>
      <c r="H1186" s="50"/>
      <c r="I1186" s="50"/>
      <c r="J1186" s="50"/>
      <c r="K1186" s="50"/>
      <c r="L1186" s="50"/>
      <c r="M1186" s="50"/>
      <c r="N1186" s="50"/>
      <c r="O1186" s="50"/>
      <c r="P1186" s="50"/>
      <c r="Q1186" s="50"/>
      <c r="R1186" s="50"/>
      <c r="S1186" s="50"/>
      <c r="T1186" s="50"/>
      <c r="U1186" s="50"/>
      <c r="V1186" s="50"/>
      <c r="W1186" s="50"/>
      <c r="X1186" s="50"/>
      <c r="Y1186" s="50"/>
      <c r="Z1186" s="50"/>
      <c r="AA1186" s="50"/>
      <c r="AB1186" s="50"/>
    </row>
    <row r="1187" customHeight="1" spans="1:28">
      <c r="A1187" s="50"/>
      <c r="B1187" s="50"/>
      <c r="C1187" s="50"/>
      <c r="D1187" s="50"/>
      <c r="E1187" s="50"/>
      <c r="F1187" s="50"/>
      <c r="G1187" s="50"/>
      <c r="H1187" s="50"/>
      <c r="I1187" s="50"/>
      <c r="J1187" s="50"/>
      <c r="K1187" s="50"/>
      <c r="L1187" s="50"/>
      <c r="M1187" s="50"/>
      <c r="N1187" s="50"/>
      <c r="O1187" s="50"/>
      <c r="P1187" s="50"/>
      <c r="Q1187" s="50"/>
      <c r="R1187" s="50"/>
      <c r="S1187" s="50"/>
      <c r="T1187" s="50"/>
      <c r="U1187" s="50"/>
      <c r="V1187" s="50"/>
      <c r="W1187" s="50"/>
      <c r="X1187" s="50"/>
      <c r="Y1187" s="50"/>
      <c r="Z1187" s="50"/>
      <c r="AA1187" s="50"/>
      <c r="AB1187" s="50"/>
    </row>
    <row r="1188" customHeight="1" spans="1:28">
      <c r="A1188" s="50"/>
      <c r="B1188" s="50"/>
      <c r="C1188" s="50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  <c r="S1188" s="50"/>
      <c r="T1188" s="50"/>
      <c r="U1188" s="50"/>
      <c r="V1188" s="50"/>
      <c r="W1188" s="50"/>
      <c r="X1188" s="50"/>
      <c r="Y1188" s="50"/>
      <c r="Z1188" s="50"/>
      <c r="AA1188" s="50"/>
      <c r="AB1188" s="50"/>
    </row>
    <row r="1189" customHeight="1" spans="1:28">
      <c r="A1189" s="50"/>
      <c r="B1189" s="50"/>
      <c r="C1189" s="50"/>
      <c r="D1189" s="50"/>
      <c r="E1189" s="50"/>
      <c r="F1189" s="50"/>
      <c r="G1189" s="50"/>
      <c r="H1189" s="50"/>
      <c r="I1189" s="50"/>
      <c r="J1189" s="50"/>
      <c r="K1189" s="50"/>
      <c r="L1189" s="50"/>
      <c r="M1189" s="50"/>
      <c r="N1189" s="50"/>
      <c r="O1189" s="50"/>
      <c r="P1189" s="50"/>
      <c r="Q1189" s="50"/>
      <c r="R1189" s="50"/>
      <c r="S1189" s="50"/>
      <c r="T1189" s="50"/>
      <c r="U1189" s="50"/>
      <c r="V1189" s="50"/>
      <c r="W1189" s="50"/>
      <c r="X1189" s="50"/>
      <c r="Y1189" s="50"/>
      <c r="Z1189" s="50"/>
      <c r="AA1189" s="50"/>
      <c r="AB1189" s="50"/>
    </row>
    <row r="1190" customHeight="1" spans="1:28">
      <c r="A1190" s="50"/>
      <c r="B1190" s="50"/>
      <c r="C1190" s="50"/>
      <c r="D1190" s="50"/>
      <c r="E1190" s="50"/>
      <c r="F1190" s="50"/>
      <c r="G1190" s="50"/>
      <c r="H1190" s="50"/>
      <c r="I1190" s="50"/>
      <c r="J1190" s="50"/>
      <c r="K1190" s="50"/>
      <c r="L1190" s="50"/>
      <c r="M1190" s="50"/>
      <c r="N1190" s="50"/>
      <c r="O1190" s="50"/>
      <c r="P1190" s="50"/>
      <c r="Q1190" s="50"/>
      <c r="R1190" s="50"/>
      <c r="S1190" s="50"/>
      <c r="T1190" s="50"/>
      <c r="U1190" s="50"/>
      <c r="V1190" s="50"/>
      <c r="W1190" s="50"/>
      <c r="X1190" s="50"/>
      <c r="Y1190" s="50"/>
      <c r="Z1190" s="50"/>
      <c r="AA1190" s="50"/>
      <c r="AB1190" s="50"/>
    </row>
    <row r="1191" customHeight="1" spans="1:28">
      <c r="A1191" s="50"/>
      <c r="B1191" s="50"/>
      <c r="C1191" s="50"/>
      <c r="D1191" s="50"/>
      <c r="E1191" s="50"/>
      <c r="F1191" s="50"/>
      <c r="G1191" s="50"/>
      <c r="H1191" s="50"/>
      <c r="I1191" s="50"/>
      <c r="J1191" s="50"/>
      <c r="K1191" s="50"/>
      <c r="L1191" s="50"/>
      <c r="M1191" s="50"/>
      <c r="N1191" s="50"/>
      <c r="O1191" s="50"/>
      <c r="P1191" s="50"/>
      <c r="Q1191" s="50"/>
      <c r="R1191" s="50"/>
      <c r="S1191" s="50"/>
      <c r="T1191" s="50"/>
      <c r="U1191" s="50"/>
      <c r="V1191" s="50"/>
      <c r="W1191" s="50"/>
      <c r="X1191" s="50"/>
      <c r="Y1191" s="50"/>
      <c r="Z1191" s="50"/>
      <c r="AA1191" s="50"/>
      <c r="AB1191" s="50"/>
    </row>
    <row r="1192" customHeight="1" spans="1:28">
      <c r="A1192" s="50"/>
      <c r="B1192" s="50"/>
      <c r="C1192" s="50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  <c r="S1192" s="50"/>
      <c r="T1192" s="50"/>
      <c r="U1192" s="50"/>
      <c r="V1192" s="50"/>
      <c r="W1192" s="50"/>
      <c r="X1192" s="50"/>
      <c r="Y1192" s="50"/>
      <c r="Z1192" s="50"/>
      <c r="AA1192" s="50"/>
      <c r="AB1192" s="50"/>
    </row>
    <row r="1193" customHeight="1" spans="1:28">
      <c r="A1193" s="50"/>
      <c r="B1193" s="50"/>
      <c r="C1193" s="50"/>
      <c r="D1193" s="50"/>
      <c r="E1193" s="50"/>
      <c r="F1193" s="50"/>
      <c r="G1193" s="50"/>
      <c r="H1193" s="50"/>
      <c r="I1193" s="50"/>
      <c r="J1193" s="50"/>
      <c r="K1193" s="50"/>
      <c r="L1193" s="50"/>
      <c r="M1193" s="50"/>
      <c r="N1193" s="50"/>
      <c r="O1193" s="50"/>
      <c r="P1193" s="50"/>
      <c r="Q1193" s="50"/>
      <c r="R1193" s="50"/>
      <c r="S1193" s="50"/>
      <c r="T1193" s="50"/>
      <c r="U1193" s="50"/>
      <c r="V1193" s="50"/>
      <c r="W1193" s="50"/>
      <c r="X1193" s="50"/>
      <c r="Y1193" s="50"/>
      <c r="Z1193" s="50"/>
      <c r="AA1193" s="50"/>
      <c r="AB1193" s="50"/>
    </row>
    <row r="1194" customHeight="1" spans="1:28">
      <c r="A1194" s="50"/>
      <c r="B1194" s="50"/>
      <c r="C1194" s="50"/>
      <c r="D1194" s="50"/>
      <c r="E1194" s="50"/>
      <c r="F1194" s="50"/>
      <c r="G1194" s="50"/>
      <c r="H1194" s="50"/>
      <c r="I1194" s="50"/>
      <c r="J1194" s="50"/>
      <c r="K1194" s="50"/>
      <c r="L1194" s="50"/>
      <c r="M1194" s="50"/>
      <c r="N1194" s="50"/>
      <c r="O1194" s="50"/>
      <c r="P1194" s="50"/>
      <c r="Q1194" s="50"/>
      <c r="R1194" s="50"/>
      <c r="S1194" s="50"/>
      <c r="T1194" s="50"/>
      <c r="U1194" s="50"/>
      <c r="V1194" s="50"/>
      <c r="W1194" s="50"/>
      <c r="X1194" s="50"/>
      <c r="Y1194" s="50"/>
      <c r="Z1194" s="50"/>
      <c r="AA1194" s="50"/>
      <c r="AB1194" s="50"/>
    </row>
    <row r="1195" customHeight="1" spans="1:28">
      <c r="A1195" s="50"/>
      <c r="B1195" s="50"/>
      <c r="C1195" s="50"/>
      <c r="D1195" s="50"/>
      <c r="E1195" s="50"/>
      <c r="F1195" s="50"/>
      <c r="G1195" s="50"/>
      <c r="H1195" s="50"/>
      <c r="I1195" s="50"/>
      <c r="J1195" s="50"/>
      <c r="K1195" s="50"/>
      <c r="L1195" s="50"/>
      <c r="M1195" s="50"/>
      <c r="N1195" s="50"/>
      <c r="O1195" s="50"/>
      <c r="P1195" s="50"/>
      <c r="Q1195" s="50"/>
      <c r="R1195" s="50"/>
      <c r="S1195" s="50"/>
      <c r="T1195" s="50"/>
      <c r="U1195" s="50"/>
      <c r="V1195" s="50"/>
      <c r="W1195" s="50"/>
      <c r="X1195" s="50"/>
      <c r="Y1195" s="50"/>
      <c r="Z1195" s="50"/>
      <c r="AA1195" s="50"/>
      <c r="AB1195" s="50"/>
    </row>
    <row r="1196" customHeight="1" spans="1:28">
      <c r="A1196" s="50"/>
      <c r="B1196" s="50"/>
      <c r="C1196" s="50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  <c r="S1196" s="50"/>
      <c r="T1196" s="50"/>
      <c r="U1196" s="50"/>
      <c r="V1196" s="50"/>
      <c r="W1196" s="50"/>
      <c r="X1196" s="50"/>
      <c r="Y1196" s="50"/>
      <c r="Z1196" s="50"/>
      <c r="AA1196" s="50"/>
      <c r="AB1196" s="50"/>
    </row>
    <row r="1197" customHeight="1" spans="1:28">
      <c r="A1197" s="50"/>
      <c r="B1197" s="50"/>
      <c r="C1197" s="50"/>
      <c r="D1197" s="50"/>
      <c r="E1197" s="50"/>
      <c r="F1197" s="50"/>
      <c r="G1197" s="50"/>
      <c r="H1197" s="50"/>
      <c r="I1197" s="50"/>
      <c r="J1197" s="50"/>
      <c r="K1197" s="50"/>
      <c r="L1197" s="50"/>
      <c r="M1197" s="50"/>
      <c r="N1197" s="50"/>
      <c r="O1197" s="50"/>
      <c r="P1197" s="50"/>
      <c r="Q1197" s="50"/>
      <c r="R1197" s="50"/>
      <c r="S1197" s="50"/>
      <c r="T1197" s="50"/>
      <c r="U1197" s="50"/>
      <c r="V1197" s="50"/>
      <c r="W1197" s="50"/>
      <c r="X1197" s="50"/>
      <c r="Y1197" s="50"/>
      <c r="Z1197" s="50"/>
      <c r="AA1197" s="50"/>
      <c r="AB1197" s="50"/>
    </row>
    <row r="1198" customHeight="1" spans="1:28">
      <c r="A1198" s="50"/>
      <c r="B1198" s="50"/>
      <c r="C1198" s="50"/>
      <c r="D1198" s="50"/>
      <c r="E1198" s="50"/>
      <c r="F1198" s="50"/>
      <c r="G1198" s="50"/>
      <c r="H1198" s="50"/>
      <c r="I1198" s="50"/>
      <c r="J1198" s="50"/>
      <c r="K1198" s="50"/>
      <c r="L1198" s="50"/>
      <c r="M1198" s="50"/>
      <c r="N1198" s="50"/>
      <c r="O1198" s="50"/>
      <c r="P1198" s="50"/>
      <c r="Q1198" s="50"/>
      <c r="R1198" s="50"/>
      <c r="S1198" s="50"/>
      <c r="T1198" s="50"/>
      <c r="U1198" s="50"/>
      <c r="V1198" s="50"/>
      <c r="W1198" s="50"/>
      <c r="X1198" s="50"/>
      <c r="Y1198" s="50"/>
      <c r="Z1198" s="50"/>
      <c r="AA1198" s="50"/>
      <c r="AB1198" s="50"/>
    </row>
    <row r="1199" customHeight="1" spans="1:28">
      <c r="A1199" s="50"/>
      <c r="B1199" s="50"/>
      <c r="C1199" s="50"/>
      <c r="D1199" s="50"/>
      <c r="E1199" s="50"/>
      <c r="F1199" s="50"/>
      <c r="G1199" s="50"/>
      <c r="H1199" s="50"/>
      <c r="I1199" s="50"/>
      <c r="J1199" s="50"/>
      <c r="K1199" s="50"/>
      <c r="L1199" s="50"/>
      <c r="M1199" s="50"/>
      <c r="N1199" s="50"/>
      <c r="O1199" s="50"/>
      <c r="P1199" s="50"/>
      <c r="Q1199" s="50"/>
      <c r="R1199" s="50"/>
      <c r="S1199" s="50"/>
      <c r="T1199" s="50"/>
      <c r="U1199" s="50"/>
      <c r="V1199" s="50"/>
      <c r="W1199" s="50"/>
      <c r="X1199" s="50"/>
      <c r="Y1199" s="50"/>
      <c r="Z1199" s="50"/>
      <c r="AA1199" s="50"/>
      <c r="AB1199" s="50"/>
    </row>
    <row r="1200" customHeight="1" spans="1:28">
      <c r="A1200" s="50"/>
      <c r="B1200" s="50"/>
      <c r="C1200" s="50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0"/>
      <c r="AA1200" s="50"/>
      <c r="AB1200" s="50"/>
    </row>
    <row r="1201" customHeight="1" spans="1:28">
      <c r="A1201" s="50"/>
      <c r="B1201" s="50"/>
      <c r="C1201" s="50"/>
      <c r="D1201" s="50"/>
      <c r="E1201" s="50"/>
      <c r="F1201" s="50"/>
      <c r="G1201" s="50"/>
      <c r="H1201" s="50"/>
      <c r="I1201" s="50"/>
      <c r="J1201" s="50"/>
      <c r="K1201" s="50"/>
      <c r="L1201" s="50"/>
      <c r="M1201" s="50"/>
      <c r="N1201" s="50"/>
      <c r="O1201" s="50"/>
      <c r="P1201" s="50"/>
      <c r="Q1201" s="50"/>
      <c r="R1201" s="50"/>
      <c r="S1201" s="50"/>
      <c r="T1201" s="50"/>
      <c r="U1201" s="50"/>
      <c r="V1201" s="50"/>
      <c r="W1201" s="50"/>
      <c r="X1201" s="50"/>
      <c r="Y1201" s="50"/>
      <c r="Z1201" s="50"/>
      <c r="AA1201" s="50"/>
      <c r="AB1201" s="50"/>
    </row>
    <row r="1202" customHeight="1" spans="1:28">
      <c r="A1202" s="50"/>
      <c r="B1202" s="50"/>
      <c r="C1202" s="50"/>
      <c r="D1202" s="50"/>
      <c r="E1202" s="50"/>
      <c r="F1202" s="50"/>
      <c r="G1202" s="50"/>
      <c r="H1202" s="50"/>
      <c r="I1202" s="50"/>
      <c r="J1202" s="50"/>
      <c r="K1202" s="50"/>
      <c r="L1202" s="50"/>
      <c r="M1202" s="50"/>
      <c r="N1202" s="50"/>
      <c r="O1202" s="50"/>
      <c r="P1202" s="50"/>
      <c r="Q1202" s="50"/>
      <c r="R1202" s="50"/>
      <c r="S1202" s="50"/>
      <c r="T1202" s="50"/>
      <c r="U1202" s="50"/>
      <c r="V1202" s="50"/>
      <c r="W1202" s="50"/>
      <c r="X1202" s="50"/>
      <c r="Y1202" s="50"/>
      <c r="Z1202" s="50"/>
      <c r="AA1202" s="50"/>
      <c r="AB1202" s="50"/>
    </row>
    <row r="1203" customHeight="1" spans="1:28">
      <c r="A1203" s="50"/>
      <c r="B1203" s="50"/>
      <c r="C1203" s="50"/>
      <c r="D1203" s="50"/>
      <c r="E1203" s="50"/>
      <c r="F1203" s="50"/>
      <c r="G1203" s="50"/>
      <c r="H1203" s="50"/>
      <c r="I1203" s="50"/>
      <c r="J1203" s="50"/>
      <c r="K1203" s="50"/>
      <c r="L1203" s="50"/>
      <c r="M1203" s="50"/>
      <c r="N1203" s="50"/>
      <c r="O1203" s="50"/>
      <c r="P1203" s="50"/>
      <c r="Q1203" s="50"/>
      <c r="R1203" s="50"/>
      <c r="S1203" s="50"/>
      <c r="T1203" s="50"/>
      <c r="U1203" s="50"/>
      <c r="V1203" s="50"/>
      <c r="W1203" s="50"/>
      <c r="X1203" s="50"/>
      <c r="Y1203" s="50"/>
      <c r="Z1203" s="50"/>
      <c r="AA1203" s="50"/>
      <c r="AB1203" s="50"/>
    </row>
    <row r="1204" customHeight="1" spans="1:28">
      <c r="A1204" s="50"/>
      <c r="B1204" s="50"/>
      <c r="C1204" s="50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  <c r="S1204" s="50"/>
      <c r="T1204" s="50"/>
      <c r="U1204" s="50"/>
      <c r="V1204" s="50"/>
      <c r="W1204" s="50"/>
      <c r="X1204" s="50"/>
      <c r="Y1204" s="50"/>
      <c r="Z1204" s="50"/>
      <c r="AA1204" s="50"/>
      <c r="AB1204" s="50"/>
    </row>
    <row r="1205" customHeight="1" spans="1:28">
      <c r="A1205" s="50"/>
      <c r="B1205" s="50"/>
      <c r="C1205" s="50"/>
      <c r="D1205" s="50"/>
      <c r="E1205" s="50"/>
      <c r="F1205" s="50"/>
      <c r="G1205" s="50"/>
      <c r="H1205" s="50"/>
      <c r="I1205" s="50"/>
      <c r="J1205" s="50"/>
      <c r="K1205" s="50"/>
      <c r="L1205" s="50"/>
      <c r="M1205" s="50"/>
      <c r="N1205" s="50"/>
      <c r="O1205" s="50"/>
      <c r="P1205" s="50"/>
      <c r="Q1205" s="50"/>
      <c r="R1205" s="50"/>
      <c r="S1205" s="50"/>
      <c r="T1205" s="50"/>
      <c r="U1205" s="50"/>
      <c r="V1205" s="50"/>
      <c r="W1205" s="50"/>
      <c r="X1205" s="50"/>
      <c r="Y1205" s="50"/>
      <c r="Z1205" s="50"/>
      <c r="AA1205" s="50"/>
      <c r="AB1205" s="50"/>
    </row>
    <row r="1206" customHeight="1" spans="1:28">
      <c r="A1206" s="50"/>
      <c r="B1206" s="50"/>
      <c r="C1206" s="50"/>
      <c r="D1206" s="50"/>
      <c r="E1206" s="50"/>
      <c r="F1206" s="50"/>
      <c r="G1206" s="50"/>
      <c r="H1206" s="50"/>
      <c r="I1206" s="50"/>
      <c r="J1206" s="50"/>
      <c r="K1206" s="50"/>
      <c r="L1206" s="50"/>
      <c r="M1206" s="50"/>
      <c r="N1206" s="50"/>
      <c r="O1206" s="50"/>
      <c r="P1206" s="50"/>
      <c r="Q1206" s="50"/>
      <c r="R1206" s="50"/>
      <c r="S1206" s="50"/>
      <c r="T1206" s="50"/>
      <c r="U1206" s="50"/>
      <c r="V1206" s="50"/>
      <c r="W1206" s="50"/>
      <c r="X1206" s="50"/>
      <c r="Y1206" s="50"/>
      <c r="Z1206" s="50"/>
      <c r="AA1206" s="50"/>
      <c r="AB1206" s="50"/>
    </row>
    <row r="1207" customHeight="1" spans="1:28">
      <c r="A1207" s="50"/>
      <c r="B1207" s="50"/>
      <c r="C1207" s="50"/>
      <c r="D1207" s="50"/>
      <c r="E1207" s="50"/>
      <c r="F1207" s="50"/>
      <c r="G1207" s="50"/>
      <c r="H1207" s="50"/>
      <c r="I1207" s="50"/>
      <c r="J1207" s="50"/>
      <c r="K1207" s="50"/>
      <c r="L1207" s="50"/>
      <c r="M1207" s="50"/>
      <c r="N1207" s="50"/>
      <c r="O1207" s="50"/>
      <c r="P1207" s="50"/>
      <c r="Q1207" s="50"/>
      <c r="R1207" s="50"/>
      <c r="S1207" s="50"/>
      <c r="T1207" s="50"/>
      <c r="U1207" s="50"/>
      <c r="V1207" s="50"/>
      <c r="W1207" s="50"/>
      <c r="X1207" s="50"/>
      <c r="Y1207" s="50"/>
      <c r="Z1207" s="50"/>
      <c r="AA1207" s="50"/>
      <c r="AB1207" s="50"/>
    </row>
    <row r="1208" customHeight="1" spans="1:28">
      <c r="A1208" s="50"/>
      <c r="B1208" s="50"/>
      <c r="C1208" s="50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  <c r="S1208" s="50"/>
      <c r="T1208" s="50"/>
      <c r="U1208" s="50"/>
      <c r="V1208" s="50"/>
      <c r="W1208" s="50"/>
      <c r="X1208" s="50"/>
      <c r="Y1208" s="50"/>
      <c r="Z1208" s="50"/>
      <c r="AA1208" s="50"/>
      <c r="AB1208" s="50"/>
    </row>
    <row r="1209" customHeight="1" spans="1:28">
      <c r="A1209" s="50"/>
      <c r="B1209" s="50"/>
      <c r="C1209" s="50"/>
      <c r="D1209" s="50"/>
      <c r="E1209" s="50"/>
      <c r="F1209" s="50"/>
      <c r="G1209" s="50"/>
      <c r="H1209" s="50"/>
      <c r="I1209" s="50"/>
      <c r="J1209" s="50"/>
      <c r="K1209" s="50"/>
      <c r="L1209" s="50"/>
      <c r="M1209" s="50"/>
      <c r="N1209" s="50"/>
      <c r="O1209" s="50"/>
      <c r="P1209" s="50"/>
      <c r="Q1209" s="50"/>
      <c r="R1209" s="50"/>
      <c r="S1209" s="50"/>
      <c r="T1209" s="50"/>
      <c r="U1209" s="50"/>
      <c r="V1209" s="50"/>
      <c r="W1209" s="50"/>
      <c r="X1209" s="50"/>
      <c r="Y1209" s="50"/>
      <c r="Z1209" s="50"/>
      <c r="AA1209" s="50"/>
      <c r="AB1209" s="50"/>
    </row>
    <row r="1210" customHeight="1" spans="1:28">
      <c r="A1210" s="50"/>
      <c r="B1210" s="50"/>
      <c r="C1210" s="50"/>
      <c r="D1210" s="50"/>
      <c r="E1210" s="50"/>
      <c r="F1210" s="50"/>
      <c r="G1210" s="50"/>
      <c r="H1210" s="50"/>
      <c r="I1210" s="50"/>
      <c r="J1210" s="50"/>
      <c r="K1210" s="50"/>
      <c r="L1210" s="50"/>
      <c r="M1210" s="50"/>
      <c r="N1210" s="50"/>
      <c r="O1210" s="50"/>
      <c r="P1210" s="50"/>
      <c r="Q1210" s="50"/>
      <c r="R1210" s="50"/>
      <c r="S1210" s="50"/>
      <c r="T1210" s="50"/>
      <c r="U1210" s="50"/>
      <c r="V1210" s="50"/>
      <c r="W1210" s="50"/>
      <c r="X1210" s="50"/>
      <c r="Y1210" s="50"/>
      <c r="Z1210" s="50"/>
      <c r="AA1210" s="50"/>
      <c r="AB1210" s="50"/>
    </row>
    <row r="1211" customHeight="1" spans="1:28">
      <c r="A1211" s="50"/>
      <c r="B1211" s="50"/>
      <c r="C1211" s="50"/>
      <c r="D1211" s="50"/>
      <c r="E1211" s="50"/>
      <c r="F1211" s="50"/>
      <c r="G1211" s="50"/>
      <c r="H1211" s="50"/>
      <c r="I1211" s="50"/>
      <c r="J1211" s="50"/>
      <c r="K1211" s="50"/>
      <c r="L1211" s="50"/>
      <c r="M1211" s="50"/>
      <c r="N1211" s="50"/>
      <c r="O1211" s="50"/>
      <c r="P1211" s="50"/>
      <c r="Q1211" s="50"/>
      <c r="R1211" s="50"/>
      <c r="S1211" s="50"/>
      <c r="T1211" s="50"/>
      <c r="U1211" s="50"/>
      <c r="V1211" s="50"/>
      <c r="W1211" s="50"/>
      <c r="X1211" s="50"/>
      <c r="Y1211" s="50"/>
      <c r="Z1211" s="50"/>
      <c r="AA1211" s="50"/>
      <c r="AB1211" s="50"/>
    </row>
    <row r="1212" customHeight="1" spans="1:28">
      <c r="A1212" s="50"/>
      <c r="B1212" s="50"/>
      <c r="C1212" s="50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  <c r="S1212" s="50"/>
      <c r="T1212" s="50"/>
      <c r="U1212" s="50"/>
      <c r="V1212" s="50"/>
      <c r="W1212" s="50"/>
      <c r="X1212" s="50"/>
      <c r="Y1212" s="50"/>
      <c r="Z1212" s="50"/>
      <c r="AA1212" s="50"/>
      <c r="AB1212" s="50"/>
    </row>
    <row r="1213" customHeight="1" spans="1:28">
      <c r="A1213" s="50"/>
      <c r="B1213" s="50"/>
      <c r="C1213" s="50"/>
      <c r="D1213" s="50"/>
      <c r="E1213" s="50"/>
      <c r="F1213" s="50"/>
      <c r="G1213" s="50"/>
      <c r="H1213" s="50"/>
      <c r="I1213" s="50"/>
      <c r="J1213" s="50"/>
      <c r="K1213" s="50"/>
      <c r="L1213" s="50"/>
      <c r="M1213" s="50"/>
      <c r="N1213" s="50"/>
      <c r="O1213" s="50"/>
      <c r="P1213" s="50"/>
      <c r="Q1213" s="50"/>
      <c r="R1213" s="50"/>
      <c r="S1213" s="50"/>
      <c r="T1213" s="50"/>
      <c r="U1213" s="50"/>
      <c r="V1213" s="50"/>
      <c r="W1213" s="50"/>
      <c r="X1213" s="50"/>
      <c r="Y1213" s="50"/>
      <c r="Z1213" s="50"/>
      <c r="AA1213" s="50"/>
      <c r="AB1213" s="50"/>
    </row>
    <row r="1214" customHeight="1" spans="1:28">
      <c r="A1214" s="50"/>
      <c r="B1214" s="50"/>
      <c r="C1214" s="50"/>
      <c r="D1214" s="50"/>
      <c r="E1214" s="50"/>
      <c r="F1214" s="50"/>
      <c r="G1214" s="50"/>
      <c r="H1214" s="50"/>
      <c r="I1214" s="50"/>
      <c r="J1214" s="50"/>
      <c r="K1214" s="50"/>
      <c r="L1214" s="50"/>
      <c r="M1214" s="50"/>
      <c r="N1214" s="50"/>
      <c r="O1214" s="50"/>
      <c r="P1214" s="50"/>
      <c r="Q1214" s="50"/>
      <c r="R1214" s="50"/>
      <c r="S1214" s="50"/>
      <c r="T1214" s="50"/>
      <c r="U1214" s="50"/>
      <c r="V1214" s="50"/>
      <c r="W1214" s="50"/>
      <c r="X1214" s="50"/>
      <c r="Y1214" s="50"/>
      <c r="Z1214" s="50"/>
      <c r="AA1214" s="50"/>
      <c r="AB1214" s="50"/>
    </row>
    <row r="1215" customHeight="1" spans="1:28">
      <c r="A1215" s="50"/>
      <c r="B1215" s="50"/>
      <c r="C1215" s="50"/>
      <c r="D1215" s="50"/>
      <c r="E1215" s="50"/>
      <c r="F1215" s="50"/>
      <c r="G1215" s="50"/>
      <c r="H1215" s="50"/>
      <c r="I1215" s="50"/>
      <c r="J1215" s="50"/>
      <c r="K1215" s="50"/>
      <c r="L1215" s="50"/>
      <c r="M1215" s="50"/>
      <c r="N1215" s="50"/>
      <c r="O1215" s="50"/>
      <c r="P1215" s="50"/>
      <c r="Q1215" s="50"/>
      <c r="R1215" s="50"/>
      <c r="S1215" s="50"/>
      <c r="T1215" s="50"/>
      <c r="U1215" s="50"/>
      <c r="V1215" s="50"/>
      <c r="W1215" s="50"/>
      <c r="X1215" s="50"/>
      <c r="Y1215" s="50"/>
      <c r="Z1215" s="50"/>
      <c r="AA1215" s="50"/>
      <c r="AB1215" s="50"/>
    </row>
    <row r="1216" customHeight="1" spans="1:28">
      <c r="A1216" s="50"/>
      <c r="B1216" s="50"/>
      <c r="C1216" s="50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  <c r="S1216" s="50"/>
      <c r="T1216" s="50"/>
      <c r="U1216" s="50"/>
      <c r="V1216" s="50"/>
      <c r="W1216" s="50"/>
      <c r="X1216" s="50"/>
      <c r="Y1216" s="50"/>
      <c r="Z1216" s="50"/>
      <c r="AA1216" s="50"/>
      <c r="AB1216" s="50"/>
    </row>
    <row r="1217" customHeight="1" spans="1:28">
      <c r="A1217" s="50"/>
      <c r="B1217" s="50"/>
      <c r="C1217" s="50"/>
      <c r="D1217" s="50"/>
      <c r="E1217" s="50"/>
      <c r="F1217" s="50"/>
      <c r="G1217" s="50"/>
      <c r="H1217" s="50"/>
      <c r="I1217" s="50"/>
      <c r="J1217" s="50"/>
      <c r="K1217" s="50"/>
      <c r="L1217" s="50"/>
      <c r="M1217" s="50"/>
      <c r="N1217" s="50"/>
      <c r="O1217" s="50"/>
      <c r="P1217" s="50"/>
      <c r="Q1217" s="50"/>
      <c r="R1217" s="50"/>
      <c r="S1217" s="50"/>
      <c r="T1217" s="50"/>
      <c r="U1217" s="50"/>
      <c r="V1217" s="50"/>
      <c r="W1217" s="50"/>
      <c r="X1217" s="50"/>
      <c r="Y1217" s="50"/>
      <c r="Z1217" s="50"/>
      <c r="AA1217" s="50"/>
      <c r="AB1217" s="50"/>
    </row>
    <row r="1218" customHeight="1" spans="1:28">
      <c r="A1218" s="50"/>
      <c r="B1218" s="50"/>
      <c r="C1218" s="50"/>
      <c r="D1218" s="50"/>
      <c r="E1218" s="50"/>
      <c r="F1218" s="50"/>
      <c r="G1218" s="50"/>
      <c r="H1218" s="50"/>
      <c r="I1218" s="50"/>
      <c r="J1218" s="50"/>
      <c r="K1218" s="50"/>
      <c r="L1218" s="50"/>
      <c r="M1218" s="50"/>
      <c r="N1218" s="50"/>
      <c r="O1218" s="50"/>
      <c r="P1218" s="50"/>
      <c r="Q1218" s="50"/>
      <c r="R1218" s="50"/>
      <c r="S1218" s="50"/>
      <c r="T1218" s="50"/>
      <c r="U1218" s="50"/>
      <c r="V1218" s="50"/>
      <c r="W1218" s="50"/>
      <c r="X1218" s="50"/>
      <c r="Y1218" s="50"/>
      <c r="Z1218" s="50"/>
      <c r="AA1218" s="50"/>
      <c r="AB1218" s="50"/>
    </row>
    <row r="1219" customHeight="1" spans="1:28">
      <c r="A1219" s="50"/>
      <c r="B1219" s="50"/>
      <c r="C1219" s="50"/>
      <c r="D1219" s="50"/>
      <c r="E1219" s="50"/>
      <c r="F1219" s="50"/>
      <c r="G1219" s="50"/>
      <c r="H1219" s="50"/>
      <c r="I1219" s="50"/>
      <c r="J1219" s="50"/>
      <c r="K1219" s="50"/>
      <c r="L1219" s="50"/>
      <c r="M1219" s="50"/>
      <c r="N1219" s="50"/>
      <c r="O1219" s="50"/>
      <c r="P1219" s="50"/>
      <c r="Q1219" s="50"/>
      <c r="R1219" s="50"/>
      <c r="S1219" s="50"/>
      <c r="T1219" s="50"/>
      <c r="U1219" s="50"/>
      <c r="V1219" s="50"/>
      <c r="W1219" s="50"/>
      <c r="X1219" s="50"/>
      <c r="Y1219" s="50"/>
      <c r="Z1219" s="50"/>
      <c r="AA1219" s="50"/>
      <c r="AB1219" s="50"/>
    </row>
    <row r="1220" customHeight="1" spans="1:28">
      <c r="A1220" s="50"/>
      <c r="B1220" s="50"/>
      <c r="C1220" s="50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  <c r="S1220" s="50"/>
      <c r="T1220" s="50"/>
      <c r="U1220" s="50"/>
      <c r="V1220" s="50"/>
      <c r="W1220" s="50"/>
      <c r="X1220" s="50"/>
      <c r="Y1220" s="50"/>
      <c r="Z1220" s="50"/>
      <c r="AA1220" s="50"/>
      <c r="AB1220" s="50"/>
    </row>
    <row r="1221" customHeight="1" spans="1:28">
      <c r="A1221" s="50"/>
      <c r="B1221" s="50"/>
      <c r="C1221" s="50"/>
      <c r="D1221" s="50"/>
      <c r="E1221" s="50"/>
      <c r="F1221" s="50"/>
      <c r="G1221" s="50"/>
      <c r="H1221" s="50"/>
      <c r="I1221" s="50"/>
      <c r="J1221" s="50"/>
      <c r="K1221" s="50"/>
      <c r="L1221" s="50"/>
      <c r="M1221" s="50"/>
      <c r="N1221" s="50"/>
      <c r="O1221" s="50"/>
      <c r="P1221" s="50"/>
      <c r="Q1221" s="50"/>
      <c r="R1221" s="50"/>
      <c r="S1221" s="50"/>
      <c r="T1221" s="50"/>
      <c r="U1221" s="50"/>
      <c r="V1221" s="50"/>
      <c r="W1221" s="50"/>
      <c r="X1221" s="50"/>
      <c r="Y1221" s="50"/>
      <c r="Z1221" s="50"/>
      <c r="AA1221" s="50"/>
      <c r="AB1221" s="50"/>
    </row>
    <row r="1222" customHeight="1" spans="1:28">
      <c r="A1222" s="50"/>
      <c r="B1222" s="50"/>
      <c r="C1222" s="50"/>
      <c r="D1222" s="50"/>
      <c r="E1222" s="50"/>
      <c r="F1222" s="50"/>
      <c r="G1222" s="50"/>
      <c r="H1222" s="50"/>
      <c r="I1222" s="50"/>
      <c r="J1222" s="50"/>
      <c r="K1222" s="50"/>
      <c r="L1222" s="50"/>
      <c r="M1222" s="50"/>
      <c r="N1222" s="50"/>
      <c r="O1222" s="50"/>
      <c r="P1222" s="50"/>
      <c r="Q1222" s="50"/>
      <c r="R1222" s="50"/>
      <c r="S1222" s="50"/>
      <c r="T1222" s="50"/>
      <c r="U1222" s="50"/>
      <c r="V1222" s="50"/>
      <c r="W1222" s="50"/>
      <c r="X1222" s="50"/>
      <c r="Y1222" s="50"/>
      <c r="Z1222" s="50"/>
      <c r="AA1222" s="50"/>
      <c r="AB1222" s="50"/>
    </row>
    <row r="1223" customHeight="1" spans="1:28">
      <c r="A1223" s="50"/>
      <c r="B1223" s="50"/>
      <c r="C1223" s="50"/>
      <c r="D1223" s="50"/>
      <c r="E1223" s="50"/>
      <c r="F1223" s="50"/>
      <c r="G1223" s="50"/>
      <c r="H1223" s="50"/>
      <c r="I1223" s="50"/>
      <c r="J1223" s="50"/>
      <c r="K1223" s="50"/>
      <c r="L1223" s="50"/>
      <c r="M1223" s="50"/>
      <c r="N1223" s="50"/>
      <c r="O1223" s="50"/>
      <c r="P1223" s="50"/>
      <c r="Q1223" s="50"/>
      <c r="R1223" s="50"/>
      <c r="S1223" s="50"/>
      <c r="T1223" s="50"/>
      <c r="U1223" s="50"/>
      <c r="V1223" s="50"/>
      <c r="W1223" s="50"/>
      <c r="X1223" s="50"/>
      <c r="Y1223" s="50"/>
      <c r="Z1223" s="50"/>
      <c r="AA1223" s="50"/>
      <c r="AB1223" s="50"/>
    </row>
    <row r="1224" customHeight="1" spans="1:28">
      <c r="A1224" s="50"/>
      <c r="B1224" s="50"/>
      <c r="C1224" s="50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  <c r="S1224" s="50"/>
      <c r="T1224" s="50"/>
      <c r="U1224" s="50"/>
      <c r="V1224" s="50"/>
      <c r="W1224" s="50"/>
      <c r="X1224" s="50"/>
      <c r="Y1224" s="50"/>
      <c r="Z1224" s="50"/>
      <c r="AA1224" s="50"/>
      <c r="AB1224" s="50"/>
    </row>
    <row r="1225" customHeight="1" spans="1:28">
      <c r="A1225" s="50"/>
      <c r="B1225" s="50"/>
      <c r="C1225" s="50"/>
      <c r="D1225" s="50"/>
      <c r="E1225" s="50"/>
      <c r="F1225" s="50"/>
      <c r="G1225" s="50"/>
      <c r="H1225" s="50"/>
      <c r="I1225" s="50"/>
      <c r="J1225" s="50"/>
      <c r="K1225" s="50"/>
      <c r="L1225" s="50"/>
      <c r="M1225" s="50"/>
      <c r="N1225" s="50"/>
      <c r="O1225" s="50"/>
      <c r="P1225" s="50"/>
      <c r="Q1225" s="50"/>
      <c r="R1225" s="50"/>
      <c r="S1225" s="50"/>
      <c r="T1225" s="50"/>
      <c r="U1225" s="50"/>
      <c r="V1225" s="50"/>
      <c r="W1225" s="50"/>
      <c r="X1225" s="50"/>
      <c r="Y1225" s="50"/>
      <c r="Z1225" s="50"/>
      <c r="AA1225" s="50"/>
      <c r="AB1225" s="50"/>
    </row>
    <row r="1226" customHeight="1" spans="1:28">
      <c r="A1226" s="50"/>
      <c r="B1226" s="50"/>
      <c r="C1226" s="50"/>
      <c r="D1226" s="50"/>
      <c r="E1226" s="50"/>
      <c r="F1226" s="50"/>
      <c r="G1226" s="50"/>
      <c r="H1226" s="50"/>
      <c r="I1226" s="50"/>
      <c r="J1226" s="50"/>
      <c r="K1226" s="50"/>
      <c r="L1226" s="50"/>
      <c r="M1226" s="50"/>
      <c r="N1226" s="50"/>
      <c r="O1226" s="50"/>
      <c r="P1226" s="50"/>
      <c r="Q1226" s="50"/>
      <c r="R1226" s="50"/>
      <c r="S1226" s="50"/>
      <c r="T1226" s="50"/>
      <c r="U1226" s="50"/>
      <c r="V1226" s="50"/>
      <c r="W1226" s="50"/>
      <c r="X1226" s="50"/>
      <c r="Y1226" s="50"/>
      <c r="Z1226" s="50"/>
      <c r="AA1226" s="50"/>
      <c r="AB1226" s="50"/>
    </row>
    <row r="1227" customHeight="1" spans="1:28">
      <c r="A1227" s="50"/>
      <c r="B1227" s="50"/>
      <c r="C1227" s="50"/>
      <c r="D1227" s="50"/>
      <c r="E1227" s="50"/>
      <c r="F1227" s="50"/>
      <c r="G1227" s="50"/>
      <c r="H1227" s="50"/>
      <c r="I1227" s="50"/>
      <c r="J1227" s="50"/>
      <c r="K1227" s="50"/>
      <c r="L1227" s="50"/>
      <c r="M1227" s="50"/>
      <c r="N1227" s="50"/>
      <c r="O1227" s="50"/>
      <c r="P1227" s="50"/>
      <c r="Q1227" s="50"/>
      <c r="R1227" s="50"/>
      <c r="S1227" s="50"/>
      <c r="T1227" s="50"/>
      <c r="U1227" s="50"/>
      <c r="V1227" s="50"/>
      <c r="W1227" s="50"/>
      <c r="X1227" s="50"/>
      <c r="Y1227" s="50"/>
      <c r="Z1227" s="50"/>
      <c r="AA1227" s="50"/>
      <c r="AB1227" s="50"/>
    </row>
    <row r="1228" customHeight="1" spans="1:28">
      <c r="A1228" s="50"/>
      <c r="B1228" s="50"/>
      <c r="C1228" s="50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  <c r="S1228" s="50"/>
      <c r="T1228" s="50"/>
      <c r="U1228" s="50"/>
      <c r="V1228" s="50"/>
      <c r="W1228" s="50"/>
      <c r="X1228" s="50"/>
      <c r="Y1228" s="50"/>
      <c r="Z1228" s="50"/>
      <c r="AA1228" s="50"/>
      <c r="AB1228" s="50"/>
    </row>
    <row r="1229" customHeight="1" spans="1:28">
      <c r="A1229" s="50"/>
      <c r="B1229" s="50"/>
      <c r="C1229" s="50"/>
      <c r="D1229" s="50"/>
      <c r="E1229" s="50"/>
      <c r="F1229" s="50"/>
      <c r="G1229" s="50"/>
      <c r="H1229" s="50"/>
      <c r="I1229" s="50"/>
      <c r="J1229" s="50"/>
      <c r="K1229" s="50"/>
      <c r="L1229" s="50"/>
      <c r="M1229" s="50"/>
      <c r="N1229" s="50"/>
      <c r="O1229" s="50"/>
      <c r="P1229" s="50"/>
      <c r="Q1229" s="50"/>
      <c r="R1229" s="50"/>
      <c r="S1229" s="50"/>
      <c r="T1229" s="50"/>
      <c r="U1229" s="50"/>
      <c r="V1229" s="50"/>
      <c r="W1229" s="50"/>
      <c r="X1229" s="50"/>
      <c r="Y1229" s="50"/>
      <c r="Z1229" s="50"/>
      <c r="AA1229" s="50"/>
      <c r="AB1229" s="50"/>
    </row>
    <row r="1230" customHeight="1" spans="1:28">
      <c r="A1230" s="50"/>
      <c r="B1230" s="50"/>
      <c r="C1230" s="50"/>
      <c r="D1230" s="50"/>
      <c r="E1230" s="50"/>
      <c r="F1230" s="50"/>
      <c r="G1230" s="50"/>
      <c r="H1230" s="50"/>
      <c r="I1230" s="50"/>
      <c r="J1230" s="50"/>
      <c r="K1230" s="50"/>
      <c r="L1230" s="50"/>
      <c r="M1230" s="50"/>
      <c r="N1230" s="50"/>
      <c r="O1230" s="50"/>
      <c r="P1230" s="50"/>
      <c r="Q1230" s="50"/>
      <c r="R1230" s="50"/>
      <c r="S1230" s="50"/>
      <c r="T1230" s="50"/>
      <c r="U1230" s="50"/>
      <c r="V1230" s="50"/>
      <c r="W1230" s="50"/>
      <c r="X1230" s="50"/>
      <c r="Y1230" s="50"/>
      <c r="Z1230" s="50"/>
      <c r="AA1230" s="50"/>
      <c r="AB1230" s="50"/>
    </row>
    <row r="1231" customHeight="1" spans="1:28">
      <c r="A1231" s="50"/>
      <c r="B1231" s="50"/>
      <c r="C1231" s="50"/>
      <c r="D1231" s="50"/>
      <c r="E1231" s="50"/>
      <c r="F1231" s="50"/>
      <c r="G1231" s="50"/>
      <c r="H1231" s="50"/>
      <c r="I1231" s="50"/>
      <c r="J1231" s="50"/>
      <c r="K1231" s="50"/>
      <c r="L1231" s="50"/>
      <c r="M1231" s="50"/>
      <c r="N1231" s="50"/>
      <c r="O1231" s="50"/>
      <c r="P1231" s="50"/>
      <c r="Q1231" s="50"/>
      <c r="R1231" s="50"/>
      <c r="S1231" s="50"/>
      <c r="T1231" s="50"/>
      <c r="U1231" s="50"/>
      <c r="V1231" s="50"/>
      <c r="W1231" s="50"/>
      <c r="X1231" s="50"/>
      <c r="Y1231" s="50"/>
      <c r="Z1231" s="50"/>
      <c r="AA1231" s="50"/>
      <c r="AB1231" s="50"/>
    </row>
    <row r="1232" customHeight="1" spans="1:28">
      <c r="A1232" s="50"/>
      <c r="B1232" s="50"/>
      <c r="C1232" s="50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  <c r="S1232" s="50"/>
      <c r="T1232" s="50"/>
      <c r="U1232" s="50"/>
      <c r="V1232" s="50"/>
      <c r="W1232" s="50"/>
      <c r="X1232" s="50"/>
      <c r="Y1232" s="50"/>
      <c r="Z1232" s="50"/>
      <c r="AA1232" s="50"/>
      <c r="AB1232" s="50"/>
    </row>
    <row r="1233" customHeight="1" spans="1:28">
      <c r="A1233" s="50"/>
      <c r="B1233" s="50"/>
      <c r="C1233" s="50"/>
      <c r="D1233" s="50"/>
      <c r="E1233" s="50"/>
      <c r="F1233" s="50"/>
      <c r="G1233" s="50"/>
      <c r="H1233" s="50"/>
      <c r="I1233" s="50"/>
      <c r="J1233" s="50"/>
      <c r="K1233" s="50"/>
      <c r="L1233" s="50"/>
      <c r="M1233" s="50"/>
      <c r="N1233" s="50"/>
      <c r="O1233" s="50"/>
      <c r="P1233" s="50"/>
      <c r="Q1233" s="50"/>
      <c r="R1233" s="50"/>
      <c r="S1233" s="50"/>
      <c r="T1233" s="50"/>
      <c r="U1233" s="50"/>
      <c r="V1233" s="50"/>
      <c r="W1233" s="50"/>
      <c r="X1233" s="50"/>
      <c r="Y1233" s="50"/>
      <c r="Z1233" s="50"/>
      <c r="AA1233" s="50"/>
      <c r="AB1233" s="50"/>
    </row>
    <row r="1234" customHeight="1" spans="1:28">
      <c r="A1234" s="50"/>
      <c r="B1234" s="50"/>
      <c r="C1234" s="50"/>
      <c r="D1234" s="50"/>
      <c r="E1234" s="50"/>
      <c r="F1234" s="50"/>
      <c r="G1234" s="50"/>
      <c r="H1234" s="50"/>
      <c r="I1234" s="50"/>
      <c r="J1234" s="50"/>
      <c r="K1234" s="50"/>
      <c r="L1234" s="50"/>
      <c r="M1234" s="50"/>
      <c r="N1234" s="50"/>
      <c r="O1234" s="50"/>
      <c r="P1234" s="50"/>
      <c r="Q1234" s="50"/>
      <c r="R1234" s="50"/>
      <c r="S1234" s="50"/>
      <c r="T1234" s="50"/>
      <c r="U1234" s="50"/>
      <c r="V1234" s="50"/>
      <c r="W1234" s="50"/>
      <c r="X1234" s="50"/>
      <c r="Y1234" s="50"/>
      <c r="Z1234" s="50"/>
      <c r="AA1234" s="50"/>
      <c r="AB1234" s="50"/>
    </row>
    <row r="1235" customHeight="1" spans="1:28">
      <c r="A1235" s="50"/>
      <c r="B1235" s="50"/>
      <c r="C1235" s="50"/>
      <c r="D1235" s="50"/>
      <c r="E1235" s="50"/>
      <c r="F1235" s="50"/>
      <c r="G1235" s="50"/>
      <c r="H1235" s="50"/>
      <c r="I1235" s="50"/>
      <c r="J1235" s="50"/>
      <c r="K1235" s="50"/>
      <c r="L1235" s="50"/>
      <c r="M1235" s="50"/>
      <c r="N1235" s="50"/>
      <c r="O1235" s="50"/>
      <c r="P1235" s="50"/>
      <c r="Q1235" s="50"/>
      <c r="R1235" s="50"/>
      <c r="S1235" s="50"/>
      <c r="T1235" s="50"/>
      <c r="U1235" s="50"/>
      <c r="V1235" s="50"/>
      <c r="W1235" s="50"/>
      <c r="X1235" s="50"/>
      <c r="Y1235" s="50"/>
      <c r="Z1235" s="50"/>
      <c r="AA1235" s="50"/>
      <c r="AB1235" s="50"/>
    </row>
    <row r="1236" customHeight="1" spans="1:28">
      <c r="A1236" s="50"/>
      <c r="B1236" s="50"/>
      <c r="C1236" s="50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  <c r="S1236" s="50"/>
      <c r="T1236" s="50"/>
      <c r="U1236" s="50"/>
      <c r="V1236" s="50"/>
      <c r="W1236" s="50"/>
      <c r="X1236" s="50"/>
      <c r="Y1236" s="50"/>
      <c r="Z1236" s="50"/>
      <c r="AA1236" s="50"/>
      <c r="AB1236" s="50"/>
    </row>
    <row r="1237" customHeight="1" spans="1:28">
      <c r="A1237" s="50"/>
      <c r="B1237" s="50"/>
      <c r="C1237" s="50"/>
      <c r="D1237" s="50"/>
      <c r="E1237" s="50"/>
      <c r="F1237" s="50"/>
      <c r="G1237" s="50"/>
      <c r="H1237" s="50"/>
      <c r="I1237" s="50"/>
      <c r="J1237" s="50"/>
      <c r="K1237" s="50"/>
      <c r="L1237" s="50"/>
      <c r="M1237" s="50"/>
      <c r="N1237" s="50"/>
      <c r="O1237" s="50"/>
      <c r="P1237" s="50"/>
      <c r="Q1237" s="50"/>
      <c r="R1237" s="50"/>
      <c r="S1237" s="50"/>
      <c r="T1237" s="50"/>
      <c r="U1237" s="50"/>
      <c r="V1237" s="50"/>
      <c r="W1237" s="50"/>
      <c r="X1237" s="50"/>
      <c r="Y1237" s="50"/>
      <c r="Z1237" s="50"/>
      <c r="AA1237" s="50"/>
      <c r="AB1237" s="50"/>
    </row>
    <row r="1238" customHeight="1" spans="1:28">
      <c r="A1238" s="50"/>
      <c r="B1238" s="50"/>
      <c r="C1238" s="50"/>
      <c r="D1238" s="50"/>
      <c r="E1238" s="50"/>
      <c r="F1238" s="50"/>
      <c r="G1238" s="50"/>
      <c r="H1238" s="50"/>
      <c r="I1238" s="50"/>
      <c r="J1238" s="50"/>
      <c r="K1238" s="50"/>
      <c r="L1238" s="50"/>
      <c r="M1238" s="50"/>
      <c r="N1238" s="50"/>
      <c r="O1238" s="50"/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0"/>
      <c r="AA1238" s="50"/>
      <c r="AB1238" s="50"/>
    </row>
    <row r="1239" customHeight="1" spans="1:28">
      <c r="A1239" s="50"/>
      <c r="B1239" s="50"/>
      <c r="C1239" s="50"/>
      <c r="D1239" s="50"/>
      <c r="E1239" s="50"/>
      <c r="F1239" s="50"/>
      <c r="G1239" s="50"/>
      <c r="H1239" s="50"/>
      <c r="I1239" s="50"/>
      <c r="J1239" s="50"/>
      <c r="K1239" s="50"/>
      <c r="L1239" s="50"/>
      <c r="M1239" s="50"/>
      <c r="N1239" s="50"/>
      <c r="O1239" s="50"/>
      <c r="P1239" s="50"/>
      <c r="Q1239" s="50"/>
      <c r="R1239" s="50"/>
      <c r="S1239" s="50"/>
      <c r="T1239" s="50"/>
      <c r="U1239" s="50"/>
      <c r="V1239" s="50"/>
      <c r="W1239" s="50"/>
      <c r="X1239" s="50"/>
      <c r="Y1239" s="50"/>
      <c r="Z1239" s="50"/>
      <c r="AA1239" s="50"/>
      <c r="AB1239" s="50"/>
    </row>
    <row r="1240" customHeight="1" spans="1:28">
      <c r="A1240" s="50"/>
      <c r="B1240" s="50"/>
      <c r="C1240" s="50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  <c r="S1240" s="50"/>
      <c r="T1240" s="50"/>
      <c r="U1240" s="50"/>
      <c r="V1240" s="50"/>
      <c r="W1240" s="50"/>
      <c r="X1240" s="50"/>
      <c r="Y1240" s="50"/>
      <c r="Z1240" s="50"/>
      <c r="AA1240" s="50"/>
      <c r="AB1240" s="50"/>
    </row>
    <row r="1241" customHeight="1" spans="1:28">
      <c r="A1241" s="50"/>
      <c r="B1241" s="50"/>
      <c r="C1241" s="50"/>
      <c r="D1241" s="50"/>
      <c r="E1241" s="50"/>
      <c r="F1241" s="50"/>
      <c r="G1241" s="50"/>
      <c r="H1241" s="50"/>
      <c r="I1241" s="50"/>
      <c r="J1241" s="50"/>
      <c r="K1241" s="50"/>
      <c r="L1241" s="50"/>
      <c r="M1241" s="50"/>
      <c r="N1241" s="50"/>
      <c r="O1241" s="50"/>
      <c r="P1241" s="50"/>
      <c r="Q1241" s="50"/>
      <c r="R1241" s="50"/>
      <c r="S1241" s="50"/>
      <c r="T1241" s="50"/>
      <c r="U1241" s="50"/>
      <c r="V1241" s="50"/>
      <c r="W1241" s="50"/>
      <c r="X1241" s="50"/>
      <c r="Y1241" s="50"/>
      <c r="Z1241" s="50"/>
      <c r="AA1241" s="50"/>
      <c r="AB1241" s="50"/>
    </row>
    <row r="1242" customHeight="1" spans="1:28">
      <c r="A1242" s="50"/>
      <c r="B1242" s="50"/>
      <c r="C1242" s="50"/>
      <c r="D1242" s="50"/>
      <c r="E1242" s="50"/>
      <c r="F1242" s="50"/>
      <c r="G1242" s="50"/>
      <c r="H1242" s="50"/>
      <c r="I1242" s="50"/>
      <c r="J1242" s="50"/>
      <c r="K1242" s="50"/>
      <c r="L1242" s="50"/>
      <c r="M1242" s="50"/>
      <c r="N1242" s="50"/>
      <c r="O1242" s="50"/>
      <c r="P1242" s="50"/>
      <c r="Q1242" s="50"/>
      <c r="R1242" s="50"/>
      <c r="S1242" s="50"/>
      <c r="T1242" s="50"/>
      <c r="U1242" s="50"/>
      <c r="V1242" s="50"/>
      <c r="W1242" s="50"/>
      <c r="X1242" s="50"/>
      <c r="Y1242" s="50"/>
      <c r="Z1242" s="50"/>
      <c r="AA1242" s="50"/>
      <c r="AB1242" s="50"/>
    </row>
    <row r="1243" customHeight="1" spans="1:28">
      <c r="A1243" s="50"/>
      <c r="B1243" s="50"/>
      <c r="C1243" s="50"/>
      <c r="D1243" s="50"/>
      <c r="E1243" s="50"/>
      <c r="F1243" s="50"/>
      <c r="G1243" s="50"/>
      <c r="H1243" s="50"/>
      <c r="I1243" s="50"/>
      <c r="J1243" s="50"/>
      <c r="K1243" s="50"/>
      <c r="L1243" s="50"/>
      <c r="M1243" s="50"/>
      <c r="N1243" s="50"/>
      <c r="O1243" s="50"/>
      <c r="P1243" s="50"/>
      <c r="Q1243" s="50"/>
      <c r="R1243" s="50"/>
      <c r="S1243" s="50"/>
      <c r="T1243" s="50"/>
      <c r="U1243" s="50"/>
      <c r="V1243" s="50"/>
      <c r="W1243" s="50"/>
      <c r="X1243" s="50"/>
      <c r="Y1243" s="50"/>
      <c r="Z1243" s="50"/>
      <c r="AA1243" s="50"/>
      <c r="AB1243" s="50"/>
    </row>
    <row r="1244" customHeight="1" spans="1:28">
      <c r="A1244" s="50"/>
      <c r="B1244" s="50"/>
      <c r="C1244" s="50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  <c r="S1244" s="50"/>
      <c r="T1244" s="50"/>
      <c r="U1244" s="50"/>
      <c r="V1244" s="50"/>
      <c r="W1244" s="50"/>
      <c r="X1244" s="50"/>
      <c r="Y1244" s="50"/>
      <c r="Z1244" s="50"/>
      <c r="AA1244" s="50"/>
      <c r="AB1244" s="50"/>
    </row>
    <row r="1245" customHeight="1" spans="1:28">
      <c r="A1245" s="50"/>
      <c r="B1245" s="50"/>
      <c r="C1245" s="50"/>
      <c r="D1245" s="50"/>
      <c r="E1245" s="50"/>
      <c r="F1245" s="50"/>
      <c r="G1245" s="50"/>
      <c r="H1245" s="50"/>
      <c r="I1245" s="50"/>
      <c r="J1245" s="50"/>
      <c r="K1245" s="50"/>
      <c r="L1245" s="50"/>
      <c r="M1245" s="50"/>
      <c r="N1245" s="50"/>
      <c r="O1245" s="50"/>
      <c r="P1245" s="50"/>
      <c r="Q1245" s="50"/>
      <c r="R1245" s="50"/>
      <c r="S1245" s="50"/>
      <c r="T1245" s="50"/>
      <c r="U1245" s="50"/>
      <c r="V1245" s="50"/>
      <c r="W1245" s="50"/>
      <c r="X1245" s="50"/>
      <c r="Y1245" s="50"/>
      <c r="Z1245" s="50"/>
      <c r="AA1245" s="50"/>
      <c r="AB1245" s="50"/>
    </row>
    <row r="1246" customHeight="1" spans="1:28">
      <c r="A1246" s="50"/>
      <c r="B1246" s="50"/>
      <c r="C1246" s="50"/>
      <c r="D1246" s="50"/>
      <c r="E1246" s="50"/>
      <c r="F1246" s="50"/>
      <c r="G1246" s="50"/>
      <c r="H1246" s="50"/>
      <c r="I1246" s="50"/>
      <c r="J1246" s="50"/>
      <c r="K1246" s="50"/>
      <c r="L1246" s="50"/>
      <c r="M1246" s="50"/>
      <c r="N1246" s="50"/>
      <c r="O1246" s="50"/>
      <c r="P1246" s="50"/>
      <c r="Q1246" s="50"/>
      <c r="R1246" s="50"/>
      <c r="S1246" s="50"/>
      <c r="T1246" s="50"/>
      <c r="U1246" s="50"/>
      <c r="V1246" s="50"/>
      <c r="W1246" s="50"/>
      <c r="X1246" s="50"/>
      <c r="Y1246" s="50"/>
      <c r="Z1246" s="50"/>
      <c r="AA1246" s="50"/>
      <c r="AB1246" s="50"/>
    </row>
    <row r="1247" customHeight="1" spans="1:28">
      <c r="A1247" s="50"/>
      <c r="B1247" s="50"/>
      <c r="C1247" s="50"/>
      <c r="D1247" s="50"/>
      <c r="E1247" s="50"/>
      <c r="F1247" s="50"/>
      <c r="G1247" s="50"/>
      <c r="H1247" s="50"/>
      <c r="I1247" s="50"/>
      <c r="J1247" s="50"/>
      <c r="K1247" s="50"/>
      <c r="L1247" s="50"/>
      <c r="M1247" s="50"/>
      <c r="N1247" s="50"/>
      <c r="O1247" s="50"/>
      <c r="P1247" s="50"/>
      <c r="Q1247" s="50"/>
      <c r="R1247" s="50"/>
      <c r="S1247" s="50"/>
      <c r="T1247" s="50"/>
      <c r="U1247" s="50"/>
      <c r="V1247" s="50"/>
      <c r="W1247" s="50"/>
      <c r="X1247" s="50"/>
      <c r="Y1247" s="50"/>
      <c r="Z1247" s="50"/>
      <c r="AA1247" s="50"/>
      <c r="AB1247" s="50"/>
    </row>
    <row r="1248" customHeight="1" spans="1:28">
      <c r="A1248" s="50"/>
      <c r="B1248" s="50"/>
      <c r="C1248" s="50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  <c r="S1248" s="50"/>
      <c r="T1248" s="50"/>
      <c r="U1248" s="50"/>
      <c r="V1248" s="50"/>
      <c r="W1248" s="50"/>
      <c r="X1248" s="50"/>
      <c r="Y1248" s="50"/>
      <c r="Z1248" s="50"/>
      <c r="AA1248" s="50"/>
      <c r="AB1248" s="50"/>
    </row>
    <row r="1249" customHeight="1" spans="1:28">
      <c r="A1249" s="50"/>
      <c r="B1249" s="50"/>
      <c r="C1249" s="50"/>
      <c r="D1249" s="50"/>
      <c r="E1249" s="50"/>
      <c r="F1249" s="50"/>
      <c r="G1249" s="50"/>
      <c r="H1249" s="50"/>
      <c r="I1249" s="50"/>
      <c r="J1249" s="50"/>
      <c r="K1249" s="50"/>
      <c r="L1249" s="50"/>
      <c r="M1249" s="50"/>
      <c r="N1249" s="50"/>
      <c r="O1249" s="50"/>
      <c r="P1249" s="50"/>
      <c r="Q1249" s="50"/>
      <c r="R1249" s="50"/>
      <c r="S1249" s="50"/>
      <c r="T1249" s="50"/>
      <c r="U1249" s="50"/>
      <c r="V1249" s="50"/>
      <c r="W1249" s="50"/>
      <c r="X1249" s="50"/>
      <c r="Y1249" s="50"/>
      <c r="Z1249" s="50"/>
      <c r="AA1249" s="50"/>
      <c r="AB1249" s="50"/>
    </row>
    <row r="1250" customHeight="1" spans="1:28">
      <c r="A1250" s="50"/>
      <c r="B1250" s="50"/>
      <c r="C1250" s="50"/>
      <c r="D1250" s="50"/>
      <c r="E1250" s="50"/>
      <c r="F1250" s="50"/>
      <c r="G1250" s="50"/>
      <c r="H1250" s="50"/>
      <c r="I1250" s="50"/>
      <c r="J1250" s="50"/>
      <c r="K1250" s="50"/>
      <c r="L1250" s="50"/>
      <c r="M1250" s="50"/>
      <c r="N1250" s="50"/>
      <c r="O1250" s="50"/>
      <c r="P1250" s="50"/>
      <c r="Q1250" s="50"/>
      <c r="R1250" s="50"/>
      <c r="S1250" s="50"/>
      <c r="T1250" s="50"/>
      <c r="U1250" s="50"/>
      <c r="V1250" s="50"/>
      <c r="W1250" s="50"/>
      <c r="X1250" s="50"/>
      <c r="Y1250" s="50"/>
      <c r="Z1250" s="50"/>
      <c r="AA1250" s="50"/>
      <c r="AB1250" s="50"/>
    </row>
    <row r="1251" customHeight="1" spans="1:28">
      <c r="A1251" s="50"/>
      <c r="B1251" s="50"/>
      <c r="C1251" s="50"/>
      <c r="D1251" s="50"/>
      <c r="E1251" s="50"/>
      <c r="F1251" s="50"/>
      <c r="G1251" s="50"/>
      <c r="H1251" s="50"/>
      <c r="I1251" s="50"/>
      <c r="J1251" s="50"/>
      <c r="K1251" s="50"/>
      <c r="L1251" s="50"/>
      <c r="M1251" s="50"/>
      <c r="N1251" s="50"/>
      <c r="O1251" s="50"/>
      <c r="P1251" s="50"/>
      <c r="Q1251" s="50"/>
      <c r="R1251" s="50"/>
      <c r="S1251" s="50"/>
      <c r="T1251" s="50"/>
      <c r="U1251" s="50"/>
      <c r="V1251" s="50"/>
      <c r="W1251" s="50"/>
      <c r="X1251" s="50"/>
      <c r="Y1251" s="50"/>
      <c r="Z1251" s="50"/>
      <c r="AA1251" s="50"/>
      <c r="AB1251" s="50"/>
    </row>
    <row r="1252" customHeight="1" spans="1:28">
      <c r="A1252" s="50"/>
      <c r="B1252" s="50"/>
      <c r="C1252" s="50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  <c r="S1252" s="50"/>
      <c r="T1252" s="50"/>
      <c r="U1252" s="50"/>
      <c r="V1252" s="50"/>
      <c r="W1252" s="50"/>
      <c r="X1252" s="50"/>
      <c r="Y1252" s="50"/>
      <c r="Z1252" s="50"/>
      <c r="AA1252" s="50"/>
      <c r="AB1252" s="50"/>
    </row>
    <row r="1253" customHeight="1" spans="1:28">
      <c r="A1253" s="50"/>
      <c r="B1253" s="50"/>
      <c r="C1253" s="50"/>
      <c r="D1253" s="50"/>
      <c r="E1253" s="50"/>
      <c r="F1253" s="50"/>
      <c r="G1253" s="50"/>
      <c r="H1253" s="50"/>
      <c r="I1253" s="50"/>
      <c r="J1253" s="50"/>
      <c r="K1253" s="50"/>
      <c r="L1253" s="50"/>
      <c r="M1253" s="50"/>
      <c r="N1253" s="50"/>
      <c r="O1253" s="50"/>
      <c r="P1253" s="50"/>
      <c r="Q1253" s="50"/>
      <c r="R1253" s="50"/>
      <c r="S1253" s="50"/>
      <c r="T1253" s="50"/>
      <c r="U1253" s="50"/>
      <c r="V1253" s="50"/>
      <c r="W1253" s="50"/>
      <c r="X1253" s="50"/>
      <c r="Y1253" s="50"/>
      <c r="Z1253" s="50"/>
      <c r="AA1253" s="50"/>
      <c r="AB1253" s="50"/>
    </row>
    <row r="1254" customHeight="1" spans="1:28">
      <c r="A1254" s="50"/>
      <c r="B1254" s="50"/>
      <c r="C1254" s="50"/>
      <c r="D1254" s="50"/>
      <c r="E1254" s="50"/>
      <c r="F1254" s="50"/>
      <c r="G1254" s="50"/>
      <c r="H1254" s="50"/>
      <c r="I1254" s="50"/>
      <c r="J1254" s="50"/>
      <c r="K1254" s="50"/>
      <c r="L1254" s="50"/>
      <c r="M1254" s="50"/>
      <c r="N1254" s="50"/>
      <c r="O1254" s="50"/>
      <c r="P1254" s="50"/>
      <c r="Q1254" s="50"/>
      <c r="R1254" s="50"/>
      <c r="S1254" s="50"/>
      <c r="T1254" s="50"/>
      <c r="U1254" s="50"/>
      <c r="V1254" s="50"/>
      <c r="W1254" s="50"/>
      <c r="X1254" s="50"/>
      <c r="Y1254" s="50"/>
      <c r="Z1254" s="50"/>
      <c r="AA1254" s="50"/>
      <c r="AB1254" s="50"/>
    </row>
    <row r="1255" customHeight="1" spans="1:28">
      <c r="A1255" s="50"/>
      <c r="B1255" s="50"/>
      <c r="C1255" s="50"/>
      <c r="D1255" s="50"/>
      <c r="E1255" s="50"/>
      <c r="F1255" s="50"/>
      <c r="G1255" s="50"/>
      <c r="H1255" s="50"/>
      <c r="I1255" s="50"/>
      <c r="J1255" s="50"/>
      <c r="K1255" s="50"/>
      <c r="L1255" s="50"/>
      <c r="M1255" s="50"/>
      <c r="N1255" s="50"/>
      <c r="O1255" s="50"/>
      <c r="P1255" s="50"/>
      <c r="Q1255" s="50"/>
      <c r="R1255" s="50"/>
      <c r="S1255" s="50"/>
      <c r="T1255" s="50"/>
      <c r="U1255" s="50"/>
      <c r="V1255" s="50"/>
      <c r="W1255" s="50"/>
      <c r="X1255" s="50"/>
      <c r="Y1255" s="50"/>
      <c r="Z1255" s="50"/>
      <c r="AA1255" s="50"/>
      <c r="AB1255" s="50"/>
    </row>
    <row r="1256" customHeight="1" spans="1:28">
      <c r="A1256" s="50"/>
      <c r="B1256" s="50"/>
      <c r="C1256" s="50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  <c r="S1256" s="50"/>
      <c r="T1256" s="50"/>
      <c r="U1256" s="50"/>
      <c r="V1256" s="50"/>
      <c r="W1256" s="50"/>
      <c r="X1256" s="50"/>
      <c r="Y1256" s="50"/>
      <c r="Z1256" s="50"/>
      <c r="AA1256" s="50"/>
      <c r="AB1256" s="50"/>
    </row>
    <row r="1257" customHeight="1" spans="1:28">
      <c r="A1257" s="50"/>
      <c r="B1257" s="50"/>
      <c r="C1257" s="50"/>
      <c r="D1257" s="50"/>
      <c r="E1257" s="50"/>
      <c r="F1257" s="50"/>
      <c r="G1257" s="50"/>
      <c r="H1257" s="50"/>
      <c r="I1257" s="50"/>
      <c r="J1257" s="50"/>
      <c r="K1257" s="50"/>
      <c r="L1257" s="50"/>
      <c r="M1257" s="50"/>
      <c r="N1257" s="50"/>
      <c r="O1257" s="50"/>
      <c r="P1257" s="50"/>
      <c r="Q1257" s="50"/>
      <c r="R1257" s="50"/>
      <c r="S1257" s="50"/>
      <c r="T1257" s="50"/>
      <c r="U1257" s="50"/>
      <c r="V1257" s="50"/>
      <c r="W1257" s="50"/>
      <c r="X1257" s="50"/>
      <c r="Y1257" s="50"/>
      <c r="Z1257" s="50"/>
      <c r="AA1257" s="50"/>
      <c r="AB1257" s="50"/>
    </row>
    <row r="1258" customHeight="1" spans="1:28">
      <c r="A1258" s="50"/>
      <c r="B1258" s="50"/>
      <c r="C1258" s="50"/>
      <c r="D1258" s="50"/>
      <c r="E1258" s="50"/>
      <c r="F1258" s="50"/>
      <c r="G1258" s="50"/>
      <c r="H1258" s="50"/>
      <c r="I1258" s="50"/>
      <c r="J1258" s="50"/>
      <c r="K1258" s="50"/>
      <c r="L1258" s="50"/>
      <c r="M1258" s="50"/>
      <c r="N1258" s="50"/>
      <c r="O1258" s="50"/>
      <c r="P1258" s="50"/>
      <c r="Q1258" s="50"/>
      <c r="R1258" s="50"/>
      <c r="S1258" s="50"/>
      <c r="T1258" s="50"/>
      <c r="U1258" s="50"/>
      <c r="V1258" s="50"/>
      <c r="W1258" s="50"/>
      <c r="X1258" s="50"/>
      <c r="Y1258" s="50"/>
      <c r="Z1258" s="50"/>
      <c r="AA1258" s="50"/>
      <c r="AB1258" s="50"/>
    </row>
    <row r="1259" customHeight="1" spans="1:28">
      <c r="A1259" s="50"/>
      <c r="B1259" s="50"/>
      <c r="C1259" s="50"/>
      <c r="D1259" s="50"/>
      <c r="E1259" s="50"/>
      <c r="F1259" s="50"/>
      <c r="G1259" s="50"/>
      <c r="H1259" s="50"/>
      <c r="I1259" s="50"/>
      <c r="J1259" s="50"/>
      <c r="K1259" s="50"/>
      <c r="L1259" s="50"/>
      <c r="M1259" s="50"/>
      <c r="N1259" s="50"/>
      <c r="O1259" s="50"/>
      <c r="P1259" s="50"/>
      <c r="Q1259" s="50"/>
      <c r="R1259" s="50"/>
      <c r="S1259" s="50"/>
      <c r="T1259" s="50"/>
      <c r="U1259" s="50"/>
      <c r="V1259" s="50"/>
      <c r="W1259" s="50"/>
      <c r="X1259" s="50"/>
      <c r="Y1259" s="50"/>
      <c r="Z1259" s="50"/>
      <c r="AA1259" s="50"/>
      <c r="AB1259" s="50"/>
    </row>
    <row r="1260" customHeight="1" spans="1:28">
      <c r="A1260" s="50"/>
      <c r="B1260" s="50"/>
      <c r="C1260" s="50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  <c r="S1260" s="50"/>
      <c r="T1260" s="50"/>
      <c r="U1260" s="50"/>
      <c r="V1260" s="50"/>
      <c r="W1260" s="50"/>
      <c r="X1260" s="50"/>
      <c r="Y1260" s="50"/>
      <c r="Z1260" s="50"/>
      <c r="AA1260" s="50"/>
      <c r="AB1260" s="50"/>
    </row>
    <row r="1261" customHeight="1" spans="1:28">
      <c r="A1261" s="50"/>
      <c r="B1261" s="50"/>
      <c r="C1261" s="50"/>
      <c r="D1261" s="50"/>
      <c r="E1261" s="50"/>
      <c r="F1261" s="50"/>
      <c r="G1261" s="50"/>
      <c r="H1261" s="50"/>
      <c r="I1261" s="50"/>
      <c r="J1261" s="50"/>
      <c r="K1261" s="50"/>
      <c r="L1261" s="50"/>
      <c r="M1261" s="50"/>
      <c r="N1261" s="50"/>
      <c r="O1261" s="50"/>
      <c r="P1261" s="50"/>
      <c r="Q1261" s="50"/>
      <c r="R1261" s="50"/>
      <c r="S1261" s="50"/>
      <c r="T1261" s="50"/>
      <c r="U1261" s="50"/>
      <c r="V1261" s="50"/>
      <c r="W1261" s="50"/>
      <c r="X1261" s="50"/>
      <c r="Y1261" s="50"/>
      <c r="Z1261" s="50"/>
      <c r="AA1261" s="50"/>
      <c r="AB1261" s="50"/>
    </row>
    <row r="1262" customHeight="1" spans="1:28">
      <c r="A1262" s="50"/>
      <c r="B1262" s="50"/>
      <c r="C1262" s="50"/>
      <c r="D1262" s="50"/>
      <c r="E1262" s="50"/>
      <c r="F1262" s="50"/>
      <c r="G1262" s="50"/>
      <c r="H1262" s="50"/>
      <c r="I1262" s="50"/>
      <c r="J1262" s="50"/>
      <c r="K1262" s="50"/>
      <c r="L1262" s="50"/>
      <c r="M1262" s="50"/>
      <c r="N1262" s="50"/>
      <c r="O1262" s="50"/>
      <c r="P1262" s="50"/>
      <c r="Q1262" s="50"/>
      <c r="R1262" s="50"/>
      <c r="S1262" s="50"/>
      <c r="T1262" s="50"/>
      <c r="U1262" s="50"/>
      <c r="V1262" s="50"/>
      <c r="W1262" s="50"/>
      <c r="X1262" s="50"/>
      <c r="Y1262" s="50"/>
      <c r="Z1262" s="50"/>
      <c r="AA1262" s="50"/>
      <c r="AB1262" s="50"/>
    </row>
    <row r="1263" customHeight="1" spans="1:28">
      <c r="A1263" s="50"/>
      <c r="B1263" s="50"/>
      <c r="C1263" s="50"/>
      <c r="D1263" s="50"/>
      <c r="E1263" s="50"/>
      <c r="F1263" s="50"/>
      <c r="G1263" s="50"/>
      <c r="H1263" s="50"/>
      <c r="I1263" s="50"/>
      <c r="J1263" s="50"/>
      <c r="K1263" s="50"/>
      <c r="L1263" s="50"/>
      <c r="M1263" s="50"/>
      <c r="N1263" s="50"/>
      <c r="O1263" s="50"/>
      <c r="P1263" s="50"/>
      <c r="Q1263" s="50"/>
      <c r="R1263" s="50"/>
      <c r="S1263" s="50"/>
      <c r="T1263" s="50"/>
      <c r="U1263" s="50"/>
      <c r="V1263" s="50"/>
      <c r="W1263" s="50"/>
      <c r="X1263" s="50"/>
      <c r="Y1263" s="50"/>
      <c r="Z1263" s="50"/>
      <c r="AA1263" s="50"/>
      <c r="AB1263" s="50"/>
    </row>
    <row r="1264" customHeight="1" spans="1:28">
      <c r="A1264" s="50"/>
      <c r="B1264" s="50"/>
      <c r="C1264" s="50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  <c r="S1264" s="50"/>
      <c r="T1264" s="50"/>
      <c r="U1264" s="50"/>
      <c r="V1264" s="50"/>
      <c r="W1264" s="50"/>
      <c r="X1264" s="50"/>
      <c r="Y1264" s="50"/>
      <c r="Z1264" s="50"/>
      <c r="AA1264" s="50"/>
      <c r="AB1264" s="50"/>
    </row>
    <row r="1265" customHeight="1" spans="1:28">
      <c r="A1265" s="50"/>
      <c r="B1265" s="50"/>
      <c r="C1265" s="50"/>
      <c r="D1265" s="50"/>
      <c r="E1265" s="50"/>
      <c r="F1265" s="50"/>
      <c r="G1265" s="50"/>
      <c r="H1265" s="50"/>
      <c r="I1265" s="50"/>
      <c r="J1265" s="50"/>
      <c r="K1265" s="50"/>
      <c r="L1265" s="50"/>
      <c r="M1265" s="50"/>
      <c r="N1265" s="50"/>
      <c r="O1265" s="50"/>
      <c r="P1265" s="50"/>
      <c r="Q1265" s="50"/>
      <c r="R1265" s="50"/>
      <c r="S1265" s="50"/>
      <c r="T1265" s="50"/>
      <c r="U1265" s="50"/>
      <c r="V1265" s="50"/>
      <c r="W1265" s="50"/>
      <c r="X1265" s="50"/>
      <c r="Y1265" s="50"/>
      <c r="Z1265" s="50"/>
      <c r="AA1265" s="50"/>
      <c r="AB1265" s="50"/>
    </row>
    <row r="1266" customHeight="1" spans="1:28">
      <c r="A1266" s="50"/>
      <c r="B1266" s="50"/>
      <c r="C1266" s="50"/>
      <c r="D1266" s="50"/>
      <c r="E1266" s="50"/>
      <c r="F1266" s="50"/>
      <c r="G1266" s="50"/>
      <c r="H1266" s="50"/>
      <c r="I1266" s="50"/>
      <c r="J1266" s="50"/>
      <c r="K1266" s="50"/>
      <c r="L1266" s="50"/>
      <c r="M1266" s="50"/>
      <c r="N1266" s="50"/>
      <c r="O1266" s="50"/>
      <c r="P1266" s="50"/>
      <c r="Q1266" s="50"/>
      <c r="R1266" s="50"/>
      <c r="S1266" s="50"/>
      <c r="T1266" s="50"/>
      <c r="U1266" s="50"/>
      <c r="V1266" s="50"/>
      <c r="W1266" s="50"/>
      <c r="X1266" s="50"/>
      <c r="Y1266" s="50"/>
      <c r="Z1266" s="50"/>
      <c r="AA1266" s="50"/>
      <c r="AB1266" s="50"/>
    </row>
    <row r="1267" customHeight="1" spans="1:28">
      <c r="A1267" s="50"/>
      <c r="B1267" s="50"/>
      <c r="C1267" s="50"/>
      <c r="D1267" s="50"/>
      <c r="E1267" s="50"/>
      <c r="F1267" s="50"/>
      <c r="G1267" s="50"/>
      <c r="H1267" s="50"/>
      <c r="I1267" s="50"/>
      <c r="J1267" s="50"/>
      <c r="K1267" s="50"/>
      <c r="L1267" s="50"/>
      <c r="M1267" s="50"/>
      <c r="N1267" s="50"/>
      <c r="O1267" s="50"/>
      <c r="P1267" s="50"/>
      <c r="Q1267" s="50"/>
      <c r="R1267" s="50"/>
      <c r="S1267" s="50"/>
      <c r="T1267" s="50"/>
      <c r="U1267" s="50"/>
      <c r="V1267" s="50"/>
      <c r="W1267" s="50"/>
      <c r="X1267" s="50"/>
      <c r="Y1267" s="50"/>
      <c r="Z1267" s="50"/>
      <c r="AA1267" s="50"/>
      <c r="AB1267" s="50"/>
    </row>
    <row r="1268" customHeight="1" spans="1:28">
      <c r="A1268" s="50"/>
      <c r="B1268" s="50"/>
      <c r="C1268" s="50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  <c r="S1268" s="50"/>
      <c r="T1268" s="50"/>
      <c r="U1268" s="50"/>
      <c r="V1268" s="50"/>
      <c r="W1268" s="50"/>
      <c r="X1268" s="50"/>
      <c r="Y1268" s="50"/>
      <c r="Z1268" s="50"/>
      <c r="AA1268" s="50"/>
      <c r="AB1268" s="50"/>
    </row>
    <row r="1269" customHeight="1" spans="1:28">
      <c r="A1269" s="50"/>
      <c r="B1269" s="50"/>
      <c r="C1269" s="50"/>
      <c r="D1269" s="50"/>
      <c r="E1269" s="50"/>
      <c r="F1269" s="50"/>
      <c r="G1269" s="50"/>
      <c r="H1269" s="50"/>
      <c r="I1269" s="50"/>
      <c r="J1269" s="50"/>
      <c r="K1269" s="50"/>
      <c r="L1269" s="50"/>
      <c r="M1269" s="50"/>
      <c r="N1269" s="50"/>
      <c r="O1269" s="50"/>
      <c r="P1269" s="50"/>
      <c r="Q1269" s="50"/>
      <c r="R1269" s="50"/>
      <c r="S1269" s="50"/>
      <c r="T1269" s="50"/>
      <c r="U1269" s="50"/>
      <c r="V1269" s="50"/>
      <c r="W1269" s="50"/>
      <c r="X1269" s="50"/>
      <c r="Y1269" s="50"/>
      <c r="Z1269" s="50"/>
      <c r="AA1269" s="50"/>
      <c r="AB1269" s="50"/>
    </row>
    <row r="1270" customHeight="1" spans="1:28">
      <c r="A1270" s="50"/>
      <c r="B1270" s="50"/>
      <c r="C1270" s="50"/>
      <c r="D1270" s="50"/>
      <c r="E1270" s="50"/>
      <c r="F1270" s="50"/>
      <c r="G1270" s="50"/>
      <c r="H1270" s="50"/>
      <c r="I1270" s="50"/>
      <c r="J1270" s="50"/>
      <c r="K1270" s="50"/>
      <c r="L1270" s="50"/>
      <c r="M1270" s="50"/>
      <c r="N1270" s="50"/>
      <c r="O1270" s="50"/>
      <c r="P1270" s="50"/>
      <c r="Q1270" s="50"/>
      <c r="R1270" s="50"/>
      <c r="S1270" s="50"/>
      <c r="T1270" s="50"/>
      <c r="U1270" s="50"/>
      <c r="V1270" s="50"/>
      <c r="W1270" s="50"/>
      <c r="X1270" s="50"/>
      <c r="Y1270" s="50"/>
      <c r="Z1270" s="50"/>
      <c r="AA1270" s="50"/>
      <c r="AB1270" s="50"/>
    </row>
    <row r="1271" customHeight="1" spans="1:28">
      <c r="A1271" s="50"/>
      <c r="B1271" s="50"/>
      <c r="C1271" s="50"/>
      <c r="D1271" s="50"/>
      <c r="E1271" s="50"/>
      <c r="F1271" s="50"/>
      <c r="G1271" s="50"/>
      <c r="H1271" s="50"/>
      <c r="I1271" s="50"/>
      <c r="J1271" s="50"/>
      <c r="K1271" s="50"/>
      <c r="L1271" s="50"/>
      <c r="M1271" s="50"/>
      <c r="N1271" s="50"/>
      <c r="O1271" s="50"/>
      <c r="P1271" s="50"/>
      <c r="Q1271" s="50"/>
      <c r="R1271" s="50"/>
      <c r="S1271" s="50"/>
      <c r="T1271" s="50"/>
      <c r="U1271" s="50"/>
      <c r="V1271" s="50"/>
      <c r="W1271" s="50"/>
      <c r="X1271" s="50"/>
      <c r="Y1271" s="50"/>
      <c r="Z1271" s="50"/>
      <c r="AA1271" s="50"/>
      <c r="AB1271" s="50"/>
    </row>
    <row r="1272" customHeight="1" spans="1:28">
      <c r="A1272" s="50"/>
      <c r="B1272" s="50"/>
      <c r="C1272" s="50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  <c r="S1272" s="50"/>
      <c r="T1272" s="50"/>
      <c r="U1272" s="50"/>
      <c r="V1272" s="50"/>
      <c r="W1272" s="50"/>
      <c r="X1272" s="50"/>
      <c r="Y1272" s="50"/>
      <c r="Z1272" s="50"/>
      <c r="AA1272" s="50"/>
      <c r="AB1272" s="50"/>
    </row>
    <row r="1273" customHeight="1" spans="1:28">
      <c r="A1273" s="50"/>
      <c r="B1273" s="50"/>
      <c r="C1273" s="50"/>
      <c r="D1273" s="50"/>
      <c r="E1273" s="50"/>
      <c r="F1273" s="50"/>
      <c r="G1273" s="50"/>
      <c r="H1273" s="50"/>
      <c r="I1273" s="50"/>
      <c r="J1273" s="50"/>
      <c r="K1273" s="50"/>
      <c r="L1273" s="50"/>
      <c r="M1273" s="50"/>
      <c r="N1273" s="50"/>
      <c r="O1273" s="50"/>
      <c r="P1273" s="50"/>
      <c r="Q1273" s="50"/>
      <c r="R1273" s="50"/>
      <c r="S1273" s="50"/>
      <c r="T1273" s="50"/>
      <c r="U1273" s="50"/>
      <c r="V1273" s="50"/>
      <c r="W1273" s="50"/>
      <c r="X1273" s="50"/>
      <c r="Y1273" s="50"/>
      <c r="Z1273" s="50"/>
      <c r="AA1273" s="50"/>
      <c r="AB1273" s="50"/>
    </row>
    <row r="1274" customHeight="1" spans="1:28">
      <c r="A1274" s="50"/>
      <c r="B1274" s="50"/>
      <c r="C1274" s="50"/>
      <c r="D1274" s="50"/>
      <c r="E1274" s="50"/>
      <c r="F1274" s="50"/>
      <c r="G1274" s="50"/>
      <c r="H1274" s="50"/>
      <c r="I1274" s="50"/>
      <c r="J1274" s="50"/>
      <c r="K1274" s="50"/>
      <c r="L1274" s="50"/>
      <c r="M1274" s="50"/>
      <c r="N1274" s="50"/>
      <c r="O1274" s="50"/>
      <c r="P1274" s="50"/>
      <c r="Q1274" s="50"/>
      <c r="R1274" s="50"/>
      <c r="S1274" s="50"/>
      <c r="T1274" s="50"/>
      <c r="U1274" s="50"/>
      <c r="V1274" s="50"/>
      <c r="W1274" s="50"/>
      <c r="X1274" s="50"/>
      <c r="Y1274" s="50"/>
      <c r="Z1274" s="50"/>
      <c r="AA1274" s="50"/>
      <c r="AB1274" s="50"/>
    </row>
    <row r="1275" customHeight="1" spans="1:28">
      <c r="A1275" s="50"/>
      <c r="B1275" s="50"/>
      <c r="C1275" s="50"/>
      <c r="D1275" s="50"/>
      <c r="E1275" s="50"/>
      <c r="F1275" s="50"/>
      <c r="G1275" s="50"/>
      <c r="H1275" s="50"/>
      <c r="I1275" s="50"/>
      <c r="J1275" s="50"/>
      <c r="K1275" s="50"/>
      <c r="L1275" s="50"/>
      <c r="M1275" s="50"/>
      <c r="N1275" s="50"/>
      <c r="O1275" s="50"/>
      <c r="P1275" s="50"/>
      <c r="Q1275" s="50"/>
      <c r="R1275" s="50"/>
      <c r="S1275" s="50"/>
      <c r="T1275" s="50"/>
      <c r="U1275" s="50"/>
      <c r="V1275" s="50"/>
      <c r="W1275" s="50"/>
      <c r="X1275" s="50"/>
      <c r="Y1275" s="50"/>
      <c r="Z1275" s="50"/>
      <c r="AA1275" s="50"/>
      <c r="AB1275" s="50"/>
    </row>
    <row r="1276" customHeight="1" spans="1:28">
      <c r="A1276" s="50"/>
      <c r="B1276" s="50"/>
      <c r="C1276" s="50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0"/>
      <c r="AA1276" s="50"/>
      <c r="AB1276" s="50"/>
    </row>
    <row r="1277" customHeight="1" spans="1:28">
      <c r="A1277" s="50"/>
      <c r="B1277" s="50"/>
      <c r="C1277" s="50"/>
      <c r="D1277" s="50"/>
      <c r="E1277" s="50"/>
      <c r="F1277" s="50"/>
      <c r="G1277" s="50"/>
      <c r="H1277" s="50"/>
      <c r="I1277" s="50"/>
      <c r="J1277" s="50"/>
      <c r="K1277" s="50"/>
      <c r="L1277" s="50"/>
      <c r="M1277" s="50"/>
      <c r="N1277" s="50"/>
      <c r="O1277" s="50"/>
      <c r="P1277" s="50"/>
      <c r="Q1277" s="50"/>
      <c r="R1277" s="50"/>
      <c r="S1277" s="50"/>
      <c r="T1277" s="50"/>
      <c r="U1277" s="50"/>
      <c r="V1277" s="50"/>
      <c r="W1277" s="50"/>
      <c r="X1277" s="50"/>
      <c r="Y1277" s="50"/>
      <c r="Z1277" s="50"/>
      <c r="AA1277" s="50"/>
      <c r="AB1277" s="50"/>
    </row>
    <row r="1278" customHeight="1" spans="1:28">
      <c r="A1278" s="50"/>
      <c r="B1278" s="50"/>
      <c r="C1278" s="50"/>
      <c r="D1278" s="50"/>
      <c r="E1278" s="50"/>
      <c r="F1278" s="50"/>
      <c r="G1278" s="50"/>
      <c r="H1278" s="50"/>
      <c r="I1278" s="50"/>
      <c r="J1278" s="50"/>
      <c r="K1278" s="50"/>
      <c r="L1278" s="50"/>
      <c r="M1278" s="50"/>
      <c r="N1278" s="50"/>
      <c r="O1278" s="50"/>
      <c r="P1278" s="50"/>
      <c r="Q1278" s="50"/>
      <c r="R1278" s="50"/>
      <c r="S1278" s="50"/>
      <c r="T1278" s="50"/>
      <c r="U1278" s="50"/>
      <c r="V1278" s="50"/>
      <c r="W1278" s="50"/>
      <c r="X1278" s="50"/>
      <c r="Y1278" s="50"/>
      <c r="Z1278" s="50"/>
      <c r="AA1278" s="50"/>
      <c r="AB1278" s="50"/>
    </row>
    <row r="1279" customHeight="1" spans="1:28">
      <c r="A1279" s="50"/>
      <c r="B1279" s="50"/>
      <c r="C1279" s="50"/>
      <c r="D1279" s="50"/>
      <c r="E1279" s="50"/>
      <c r="F1279" s="50"/>
      <c r="G1279" s="50"/>
      <c r="H1279" s="50"/>
      <c r="I1279" s="50"/>
      <c r="J1279" s="50"/>
      <c r="K1279" s="50"/>
      <c r="L1279" s="50"/>
      <c r="M1279" s="50"/>
      <c r="N1279" s="50"/>
      <c r="O1279" s="50"/>
      <c r="P1279" s="50"/>
      <c r="Q1279" s="50"/>
      <c r="R1279" s="50"/>
      <c r="S1279" s="50"/>
      <c r="T1279" s="50"/>
      <c r="U1279" s="50"/>
      <c r="V1279" s="50"/>
      <c r="W1279" s="50"/>
      <c r="X1279" s="50"/>
      <c r="Y1279" s="50"/>
      <c r="Z1279" s="50"/>
      <c r="AA1279" s="50"/>
      <c r="AB1279" s="50"/>
    </row>
    <row r="1280" customHeight="1" spans="1:28">
      <c r="A1280" s="50"/>
      <c r="B1280" s="50"/>
      <c r="C1280" s="50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  <c r="S1280" s="50"/>
      <c r="T1280" s="50"/>
      <c r="U1280" s="50"/>
      <c r="V1280" s="50"/>
      <c r="W1280" s="50"/>
      <c r="X1280" s="50"/>
      <c r="Y1280" s="50"/>
      <c r="Z1280" s="50"/>
      <c r="AA1280" s="50"/>
      <c r="AB1280" s="50"/>
    </row>
    <row r="1281" customHeight="1" spans="1:28">
      <c r="A1281" s="50"/>
      <c r="B1281" s="50"/>
      <c r="C1281" s="50"/>
      <c r="D1281" s="50"/>
      <c r="E1281" s="50"/>
      <c r="F1281" s="50"/>
      <c r="G1281" s="50"/>
      <c r="H1281" s="50"/>
      <c r="I1281" s="50"/>
      <c r="J1281" s="50"/>
      <c r="K1281" s="50"/>
      <c r="L1281" s="50"/>
      <c r="M1281" s="50"/>
      <c r="N1281" s="50"/>
      <c r="O1281" s="50"/>
      <c r="P1281" s="50"/>
      <c r="Q1281" s="50"/>
      <c r="R1281" s="50"/>
      <c r="S1281" s="50"/>
      <c r="T1281" s="50"/>
      <c r="U1281" s="50"/>
      <c r="V1281" s="50"/>
      <c r="W1281" s="50"/>
      <c r="X1281" s="50"/>
      <c r="Y1281" s="50"/>
      <c r="Z1281" s="50"/>
      <c r="AA1281" s="50"/>
      <c r="AB1281" s="50"/>
    </row>
    <row r="1282" customHeight="1" spans="1:28">
      <c r="A1282" s="50"/>
      <c r="B1282" s="50"/>
      <c r="C1282" s="50"/>
      <c r="D1282" s="50"/>
      <c r="E1282" s="50"/>
      <c r="F1282" s="50"/>
      <c r="G1282" s="50"/>
      <c r="H1282" s="50"/>
      <c r="I1282" s="50"/>
      <c r="J1282" s="50"/>
      <c r="K1282" s="50"/>
      <c r="L1282" s="50"/>
      <c r="M1282" s="50"/>
      <c r="N1282" s="50"/>
      <c r="O1282" s="50"/>
      <c r="P1282" s="50"/>
      <c r="Q1282" s="50"/>
      <c r="R1282" s="50"/>
      <c r="S1282" s="50"/>
      <c r="T1282" s="50"/>
      <c r="U1282" s="50"/>
      <c r="V1282" s="50"/>
      <c r="W1282" s="50"/>
      <c r="X1282" s="50"/>
      <c r="Y1282" s="50"/>
      <c r="Z1282" s="50"/>
      <c r="AA1282" s="50"/>
      <c r="AB1282" s="50"/>
    </row>
    <row r="1283" customHeight="1" spans="1:28">
      <c r="A1283" s="50"/>
      <c r="B1283" s="50"/>
      <c r="C1283" s="50"/>
      <c r="D1283" s="50"/>
      <c r="E1283" s="50"/>
      <c r="F1283" s="50"/>
      <c r="G1283" s="50"/>
      <c r="H1283" s="50"/>
      <c r="I1283" s="50"/>
      <c r="J1283" s="50"/>
      <c r="K1283" s="50"/>
      <c r="L1283" s="50"/>
      <c r="M1283" s="50"/>
      <c r="N1283" s="50"/>
      <c r="O1283" s="50"/>
      <c r="P1283" s="50"/>
      <c r="Q1283" s="50"/>
      <c r="R1283" s="50"/>
      <c r="S1283" s="50"/>
      <c r="T1283" s="50"/>
      <c r="U1283" s="50"/>
      <c r="V1283" s="50"/>
      <c r="W1283" s="50"/>
      <c r="X1283" s="50"/>
      <c r="Y1283" s="50"/>
      <c r="Z1283" s="50"/>
      <c r="AA1283" s="50"/>
      <c r="AB1283" s="50"/>
    </row>
    <row r="1284" customHeight="1" spans="1:28">
      <c r="A1284" s="50"/>
      <c r="B1284" s="50"/>
      <c r="C1284" s="50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  <c r="S1284" s="50"/>
      <c r="T1284" s="50"/>
      <c r="U1284" s="50"/>
      <c r="V1284" s="50"/>
      <c r="W1284" s="50"/>
      <c r="X1284" s="50"/>
      <c r="Y1284" s="50"/>
      <c r="Z1284" s="50"/>
      <c r="AA1284" s="50"/>
      <c r="AB1284" s="50"/>
    </row>
    <row r="1285" customHeight="1" spans="1:28">
      <c r="A1285" s="50"/>
      <c r="B1285" s="50"/>
      <c r="C1285" s="50"/>
      <c r="D1285" s="50"/>
      <c r="E1285" s="50"/>
      <c r="F1285" s="50"/>
      <c r="G1285" s="50"/>
      <c r="H1285" s="50"/>
      <c r="I1285" s="50"/>
      <c r="J1285" s="50"/>
      <c r="K1285" s="50"/>
      <c r="L1285" s="50"/>
      <c r="M1285" s="50"/>
      <c r="N1285" s="50"/>
      <c r="O1285" s="50"/>
      <c r="P1285" s="50"/>
      <c r="Q1285" s="50"/>
      <c r="R1285" s="50"/>
      <c r="S1285" s="50"/>
      <c r="T1285" s="50"/>
      <c r="U1285" s="50"/>
      <c r="V1285" s="50"/>
      <c r="W1285" s="50"/>
      <c r="X1285" s="50"/>
      <c r="Y1285" s="50"/>
      <c r="Z1285" s="50"/>
      <c r="AA1285" s="50"/>
      <c r="AB1285" s="50"/>
    </row>
    <row r="1286" customHeight="1" spans="1:28">
      <c r="A1286" s="50"/>
      <c r="B1286" s="50"/>
      <c r="C1286" s="50"/>
      <c r="D1286" s="50"/>
      <c r="E1286" s="50"/>
      <c r="F1286" s="50"/>
      <c r="G1286" s="50"/>
      <c r="H1286" s="50"/>
      <c r="I1286" s="50"/>
      <c r="J1286" s="50"/>
      <c r="K1286" s="50"/>
      <c r="L1286" s="50"/>
      <c r="M1286" s="50"/>
      <c r="N1286" s="50"/>
      <c r="O1286" s="50"/>
      <c r="P1286" s="50"/>
      <c r="Q1286" s="50"/>
      <c r="R1286" s="50"/>
      <c r="S1286" s="50"/>
      <c r="T1286" s="50"/>
      <c r="U1286" s="50"/>
      <c r="V1286" s="50"/>
      <c r="W1286" s="50"/>
      <c r="X1286" s="50"/>
      <c r="Y1286" s="50"/>
      <c r="Z1286" s="50"/>
      <c r="AA1286" s="50"/>
      <c r="AB1286" s="50"/>
    </row>
    <row r="1287" customHeight="1" spans="1:28">
      <c r="A1287" s="50"/>
      <c r="B1287" s="50"/>
      <c r="C1287" s="50"/>
      <c r="D1287" s="50"/>
      <c r="E1287" s="50"/>
      <c r="F1287" s="50"/>
      <c r="G1287" s="50"/>
      <c r="H1287" s="50"/>
      <c r="I1287" s="50"/>
      <c r="J1287" s="50"/>
      <c r="K1287" s="50"/>
      <c r="L1287" s="50"/>
      <c r="M1287" s="50"/>
      <c r="N1287" s="50"/>
      <c r="O1287" s="50"/>
      <c r="P1287" s="50"/>
      <c r="Q1287" s="50"/>
      <c r="R1287" s="50"/>
      <c r="S1287" s="50"/>
      <c r="T1287" s="50"/>
      <c r="U1287" s="50"/>
      <c r="V1287" s="50"/>
      <c r="W1287" s="50"/>
      <c r="X1287" s="50"/>
      <c r="Y1287" s="50"/>
      <c r="Z1287" s="50"/>
      <c r="AA1287" s="50"/>
      <c r="AB1287" s="50"/>
    </row>
    <row r="1288" customHeight="1" spans="1:28">
      <c r="A1288" s="50"/>
      <c r="B1288" s="50"/>
      <c r="C1288" s="50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  <c r="S1288" s="50"/>
      <c r="T1288" s="50"/>
      <c r="U1288" s="50"/>
      <c r="V1288" s="50"/>
      <c r="W1288" s="50"/>
      <c r="X1288" s="50"/>
      <c r="Y1288" s="50"/>
      <c r="Z1288" s="50"/>
      <c r="AA1288" s="50"/>
      <c r="AB1288" s="50"/>
    </row>
    <row r="1289" customHeight="1" spans="1:28">
      <c r="A1289" s="50"/>
      <c r="B1289" s="50"/>
      <c r="C1289" s="50"/>
      <c r="D1289" s="50"/>
      <c r="E1289" s="50"/>
      <c r="F1289" s="50"/>
      <c r="G1289" s="50"/>
      <c r="H1289" s="50"/>
      <c r="I1289" s="50"/>
      <c r="J1289" s="50"/>
      <c r="K1289" s="50"/>
      <c r="L1289" s="50"/>
      <c r="M1289" s="50"/>
      <c r="N1289" s="50"/>
      <c r="O1289" s="50"/>
      <c r="P1289" s="50"/>
      <c r="Q1289" s="50"/>
      <c r="R1289" s="50"/>
      <c r="S1289" s="50"/>
      <c r="T1289" s="50"/>
      <c r="U1289" s="50"/>
      <c r="V1289" s="50"/>
      <c r="W1289" s="50"/>
      <c r="X1289" s="50"/>
      <c r="Y1289" s="50"/>
      <c r="Z1289" s="50"/>
      <c r="AA1289" s="50"/>
      <c r="AB1289" s="50"/>
    </row>
    <row r="1290" customHeight="1" spans="1:28">
      <c r="A1290" s="50"/>
      <c r="B1290" s="50"/>
      <c r="C1290" s="50"/>
      <c r="D1290" s="50"/>
      <c r="E1290" s="50"/>
      <c r="F1290" s="50"/>
      <c r="G1290" s="50"/>
      <c r="H1290" s="50"/>
      <c r="I1290" s="50"/>
      <c r="J1290" s="50"/>
      <c r="K1290" s="50"/>
      <c r="L1290" s="50"/>
      <c r="M1290" s="50"/>
      <c r="N1290" s="50"/>
      <c r="O1290" s="50"/>
      <c r="P1290" s="50"/>
      <c r="Q1290" s="50"/>
      <c r="R1290" s="50"/>
      <c r="S1290" s="50"/>
      <c r="T1290" s="50"/>
      <c r="U1290" s="50"/>
      <c r="V1290" s="50"/>
      <c r="W1290" s="50"/>
      <c r="X1290" s="50"/>
      <c r="Y1290" s="50"/>
      <c r="Z1290" s="50"/>
      <c r="AA1290" s="50"/>
      <c r="AB1290" s="50"/>
    </row>
    <row r="1291" customHeight="1" spans="1:28">
      <c r="A1291" s="50"/>
      <c r="B1291" s="50"/>
      <c r="C1291" s="50"/>
      <c r="D1291" s="50"/>
      <c r="E1291" s="50"/>
      <c r="F1291" s="50"/>
      <c r="G1291" s="50"/>
      <c r="H1291" s="50"/>
      <c r="I1291" s="50"/>
      <c r="J1291" s="50"/>
      <c r="K1291" s="50"/>
      <c r="L1291" s="50"/>
      <c r="M1291" s="50"/>
      <c r="N1291" s="50"/>
      <c r="O1291" s="50"/>
      <c r="P1291" s="50"/>
      <c r="Q1291" s="50"/>
      <c r="R1291" s="50"/>
      <c r="S1291" s="50"/>
      <c r="T1291" s="50"/>
      <c r="U1291" s="50"/>
      <c r="V1291" s="50"/>
      <c r="W1291" s="50"/>
      <c r="X1291" s="50"/>
      <c r="Y1291" s="50"/>
      <c r="Z1291" s="50"/>
      <c r="AA1291" s="50"/>
      <c r="AB1291" s="50"/>
    </row>
    <row r="1292" customHeight="1" spans="1:28">
      <c r="A1292" s="50"/>
      <c r="B1292" s="50"/>
      <c r="C1292" s="50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  <c r="S1292" s="50"/>
      <c r="T1292" s="50"/>
      <c r="U1292" s="50"/>
      <c r="V1292" s="50"/>
      <c r="W1292" s="50"/>
      <c r="X1292" s="50"/>
      <c r="Y1292" s="50"/>
      <c r="Z1292" s="50"/>
      <c r="AA1292" s="50"/>
      <c r="AB1292" s="50"/>
    </row>
    <row r="1293" customHeight="1" spans="1:28">
      <c r="A1293" s="50"/>
      <c r="B1293" s="50"/>
      <c r="C1293" s="50"/>
      <c r="D1293" s="50"/>
      <c r="E1293" s="50"/>
      <c r="F1293" s="50"/>
      <c r="G1293" s="50"/>
      <c r="H1293" s="50"/>
      <c r="I1293" s="50"/>
      <c r="J1293" s="50"/>
      <c r="K1293" s="50"/>
      <c r="L1293" s="50"/>
      <c r="M1293" s="50"/>
      <c r="N1293" s="50"/>
      <c r="O1293" s="50"/>
      <c r="P1293" s="50"/>
      <c r="Q1293" s="50"/>
      <c r="R1293" s="50"/>
      <c r="S1293" s="50"/>
      <c r="T1293" s="50"/>
      <c r="U1293" s="50"/>
      <c r="V1293" s="50"/>
      <c r="W1293" s="50"/>
      <c r="X1293" s="50"/>
      <c r="Y1293" s="50"/>
      <c r="Z1293" s="50"/>
      <c r="AA1293" s="50"/>
      <c r="AB1293" s="50"/>
    </row>
    <row r="1294" customHeight="1" spans="1:28">
      <c r="A1294" s="50"/>
      <c r="B1294" s="50"/>
      <c r="C1294" s="50"/>
      <c r="D1294" s="50"/>
      <c r="E1294" s="50"/>
      <c r="F1294" s="50"/>
      <c r="G1294" s="50"/>
      <c r="H1294" s="50"/>
      <c r="I1294" s="50"/>
      <c r="J1294" s="50"/>
      <c r="K1294" s="50"/>
      <c r="L1294" s="50"/>
      <c r="M1294" s="50"/>
      <c r="N1294" s="50"/>
      <c r="O1294" s="50"/>
      <c r="P1294" s="50"/>
      <c r="Q1294" s="50"/>
      <c r="R1294" s="50"/>
      <c r="S1294" s="50"/>
      <c r="T1294" s="50"/>
      <c r="U1294" s="50"/>
      <c r="V1294" s="50"/>
      <c r="W1294" s="50"/>
      <c r="X1294" s="50"/>
      <c r="Y1294" s="50"/>
      <c r="Z1294" s="50"/>
      <c r="AA1294" s="50"/>
      <c r="AB1294" s="50"/>
    </row>
    <row r="1295" customHeight="1" spans="1:28">
      <c r="A1295" s="50"/>
      <c r="B1295" s="50"/>
      <c r="C1295" s="50"/>
      <c r="D1295" s="50"/>
      <c r="E1295" s="50"/>
      <c r="F1295" s="50"/>
      <c r="G1295" s="50"/>
      <c r="H1295" s="50"/>
      <c r="I1295" s="50"/>
      <c r="J1295" s="50"/>
      <c r="K1295" s="50"/>
      <c r="L1295" s="50"/>
      <c r="M1295" s="50"/>
      <c r="N1295" s="50"/>
      <c r="O1295" s="50"/>
      <c r="P1295" s="50"/>
      <c r="Q1295" s="50"/>
      <c r="R1295" s="50"/>
      <c r="S1295" s="50"/>
      <c r="T1295" s="50"/>
      <c r="U1295" s="50"/>
      <c r="V1295" s="50"/>
      <c r="W1295" s="50"/>
      <c r="X1295" s="50"/>
      <c r="Y1295" s="50"/>
      <c r="Z1295" s="50"/>
      <c r="AA1295" s="50"/>
      <c r="AB1295" s="50"/>
    </row>
    <row r="1296" customHeight="1" spans="1:28">
      <c r="A1296" s="50"/>
      <c r="B1296" s="50"/>
      <c r="C1296" s="50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  <c r="S1296" s="50"/>
      <c r="T1296" s="50"/>
      <c r="U1296" s="50"/>
      <c r="V1296" s="50"/>
      <c r="W1296" s="50"/>
      <c r="X1296" s="50"/>
      <c r="Y1296" s="50"/>
      <c r="Z1296" s="50"/>
      <c r="AA1296" s="50"/>
      <c r="AB1296" s="50"/>
    </row>
    <row r="1297" customHeight="1" spans="1:28">
      <c r="A1297" s="50"/>
      <c r="B1297" s="50"/>
      <c r="C1297" s="50"/>
      <c r="D1297" s="50"/>
      <c r="E1297" s="50"/>
      <c r="F1297" s="50"/>
      <c r="G1297" s="50"/>
      <c r="H1297" s="50"/>
      <c r="I1297" s="50"/>
      <c r="J1297" s="50"/>
      <c r="K1297" s="50"/>
      <c r="L1297" s="50"/>
      <c r="M1297" s="50"/>
      <c r="N1297" s="50"/>
      <c r="O1297" s="50"/>
      <c r="P1297" s="50"/>
      <c r="Q1297" s="50"/>
      <c r="R1297" s="50"/>
      <c r="S1297" s="50"/>
      <c r="T1297" s="50"/>
      <c r="U1297" s="50"/>
      <c r="V1297" s="50"/>
      <c r="W1297" s="50"/>
      <c r="X1297" s="50"/>
      <c r="Y1297" s="50"/>
      <c r="Z1297" s="50"/>
      <c r="AA1297" s="50"/>
      <c r="AB1297" s="50"/>
    </row>
    <row r="1298" customHeight="1" spans="1:28">
      <c r="A1298" s="50"/>
      <c r="B1298" s="50"/>
      <c r="C1298" s="50"/>
      <c r="D1298" s="50"/>
      <c r="E1298" s="50"/>
      <c r="F1298" s="50"/>
      <c r="G1298" s="50"/>
      <c r="H1298" s="50"/>
      <c r="I1298" s="50"/>
      <c r="J1298" s="50"/>
      <c r="K1298" s="50"/>
      <c r="L1298" s="50"/>
      <c r="M1298" s="50"/>
      <c r="N1298" s="50"/>
      <c r="O1298" s="50"/>
      <c r="P1298" s="50"/>
      <c r="Q1298" s="50"/>
      <c r="R1298" s="50"/>
      <c r="S1298" s="50"/>
      <c r="T1298" s="50"/>
      <c r="U1298" s="50"/>
      <c r="V1298" s="50"/>
      <c r="W1298" s="50"/>
      <c r="X1298" s="50"/>
      <c r="Y1298" s="50"/>
      <c r="Z1298" s="50"/>
      <c r="AA1298" s="50"/>
      <c r="AB1298" s="50"/>
    </row>
    <row r="1299" customHeight="1" spans="1:28">
      <c r="A1299" s="50"/>
      <c r="B1299" s="50"/>
      <c r="C1299" s="50"/>
      <c r="D1299" s="50"/>
      <c r="E1299" s="50"/>
      <c r="F1299" s="50"/>
      <c r="G1299" s="50"/>
      <c r="H1299" s="50"/>
      <c r="I1299" s="50"/>
      <c r="J1299" s="50"/>
      <c r="K1299" s="50"/>
      <c r="L1299" s="50"/>
      <c r="M1299" s="50"/>
      <c r="N1299" s="50"/>
      <c r="O1299" s="50"/>
      <c r="P1299" s="50"/>
      <c r="Q1299" s="50"/>
      <c r="R1299" s="50"/>
      <c r="S1299" s="50"/>
      <c r="T1299" s="50"/>
      <c r="U1299" s="50"/>
      <c r="V1299" s="50"/>
      <c r="W1299" s="50"/>
      <c r="X1299" s="50"/>
      <c r="Y1299" s="50"/>
      <c r="Z1299" s="50"/>
      <c r="AA1299" s="50"/>
      <c r="AB1299" s="50"/>
    </row>
    <row r="1300" customHeight="1" spans="1:28">
      <c r="A1300" s="50"/>
      <c r="B1300" s="50"/>
      <c r="C1300" s="50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  <c r="S1300" s="50"/>
      <c r="T1300" s="50"/>
      <c r="U1300" s="50"/>
      <c r="V1300" s="50"/>
      <c r="W1300" s="50"/>
      <c r="X1300" s="50"/>
      <c r="Y1300" s="50"/>
      <c r="Z1300" s="50"/>
      <c r="AA1300" s="50"/>
      <c r="AB1300" s="50"/>
    </row>
    <row r="1301" customHeight="1" spans="1:28">
      <c r="A1301" s="50"/>
      <c r="B1301" s="50"/>
      <c r="C1301" s="50"/>
      <c r="D1301" s="50"/>
      <c r="E1301" s="50"/>
      <c r="F1301" s="50"/>
      <c r="G1301" s="50"/>
      <c r="H1301" s="50"/>
      <c r="I1301" s="50"/>
      <c r="J1301" s="50"/>
      <c r="K1301" s="50"/>
      <c r="L1301" s="50"/>
      <c r="M1301" s="50"/>
      <c r="N1301" s="50"/>
      <c r="O1301" s="50"/>
      <c r="P1301" s="50"/>
      <c r="Q1301" s="50"/>
      <c r="R1301" s="50"/>
      <c r="S1301" s="50"/>
      <c r="T1301" s="50"/>
      <c r="U1301" s="50"/>
      <c r="V1301" s="50"/>
      <c r="W1301" s="50"/>
      <c r="X1301" s="50"/>
      <c r="Y1301" s="50"/>
      <c r="Z1301" s="50"/>
      <c r="AA1301" s="50"/>
      <c r="AB1301" s="50"/>
    </row>
    <row r="1302" customHeight="1" spans="1:28">
      <c r="A1302" s="50"/>
      <c r="B1302" s="50"/>
      <c r="C1302" s="50"/>
      <c r="D1302" s="50"/>
      <c r="E1302" s="50"/>
      <c r="F1302" s="50"/>
      <c r="G1302" s="50"/>
      <c r="H1302" s="50"/>
      <c r="I1302" s="50"/>
      <c r="J1302" s="50"/>
      <c r="K1302" s="50"/>
      <c r="L1302" s="50"/>
      <c r="M1302" s="50"/>
      <c r="N1302" s="50"/>
      <c r="O1302" s="50"/>
      <c r="P1302" s="50"/>
      <c r="Q1302" s="50"/>
      <c r="R1302" s="50"/>
      <c r="S1302" s="50"/>
      <c r="T1302" s="50"/>
      <c r="U1302" s="50"/>
      <c r="V1302" s="50"/>
      <c r="W1302" s="50"/>
      <c r="X1302" s="50"/>
      <c r="Y1302" s="50"/>
      <c r="Z1302" s="50"/>
      <c r="AA1302" s="50"/>
      <c r="AB1302" s="50"/>
    </row>
    <row r="1303" customHeight="1" spans="1:28">
      <c r="A1303" s="50"/>
      <c r="B1303" s="50"/>
      <c r="C1303" s="50"/>
      <c r="D1303" s="50"/>
      <c r="E1303" s="50"/>
      <c r="F1303" s="50"/>
      <c r="G1303" s="50"/>
      <c r="H1303" s="50"/>
      <c r="I1303" s="50"/>
      <c r="J1303" s="50"/>
      <c r="K1303" s="50"/>
      <c r="L1303" s="50"/>
      <c r="M1303" s="50"/>
      <c r="N1303" s="50"/>
      <c r="O1303" s="50"/>
      <c r="P1303" s="50"/>
      <c r="Q1303" s="50"/>
      <c r="R1303" s="50"/>
      <c r="S1303" s="50"/>
      <c r="T1303" s="50"/>
      <c r="U1303" s="50"/>
      <c r="V1303" s="50"/>
      <c r="W1303" s="50"/>
      <c r="X1303" s="50"/>
      <c r="Y1303" s="50"/>
      <c r="Z1303" s="50"/>
      <c r="AA1303" s="50"/>
      <c r="AB1303" s="50"/>
    </row>
    <row r="1304" customHeight="1" spans="1:28">
      <c r="A1304" s="50"/>
      <c r="B1304" s="50"/>
      <c r="C1304" s="50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  <c r="S1304" s="50"/>
      <c r="T1304" s="50"/>
      <c r="U1304" s="50"/>
      <c r="V1304" s="50"/>
      <c r="W1304" s="50"/>
      <c r="X1304" s="50"/>
      <c r="Y1304" s="50"/>
      <c r="Z1304" s="50"/>
      <c r="AA1304" s="50"/>
      <c r="AB1304" s="50"/>
    </row>
    <row r="1305" customHeight="1" spans="1:28">
      <c r="A1305" s="50"/>
      <c r="B1305" s="50"/>
      <c r="C1305" s="50"/>
      <c r="D1305" s="50"/>
      <c r="E1305" s="50"/>
      <c r="F1305" s="50"/>
      <c r="G1305" s="50"/>
      <c r="H1305" s="50"/>
      <c r="I1305" s="50"/>
      <c r="J1305" s="50"/>
      <c r="K1305" s="50"/>
      <c r="L1305" s="50"/>
      <c r="M1305" s="50"/>
      <c r="N1305" s="50"/>
      <c r="O1305" s="50"/>
      <c r="P1305" s="50"/>
      <c r="Q1305" s="50"/>
      <c r="R1305" s="50"/>
      <c r="S1305" s="50"/>
      <c r="T1305" s="50"/>
      <c r="U1305" s="50"/>
      <c r="V1305" s="50"/>
      <c r="W1305" s="50"/>
      <c r="X1305" s="50"/>
      <c r="Y1305" s="50"/>
      <c r="Z1305" s="50"/>
      <c r="AA1305" s="50"/>
      <c r="AB1305" s="50"/>
    </row>
    <row r="1306" customHeight="1" spans="1:28">
      <c r="A1306" s="50"/>
      <c r="B1306" s="50"/>
      <c r="C1306" s="50"/>
      <c r="D1306" s="50"/>
      <c r="E1306" s="50"/>
      <c r="F1306" s="50"/>
      <c r="G1306" s="50"/>
      <c r="H1306" s="50"/>
      <c r="I1306" s="50"/>
      <c r="J1306" s="50"/>
      <c r="K1306" s="50"/>
      <c r="L1306" s="50"/>
      <c r="M1306" s="50"/>
      <c r="N1306" s="50"/>
      <c r="O1306" s="50"/>
      <c r="P1306" s="50"/>
      <c r="Q1306" s="50"/>
      <c r="R1306" s="50"/>
      <c r="S1306" s="50"/>
      <c r="T1306" s="50"/>
      <c r="U1306" s="50"/>
      <c r="V1306" s="50"/>
      <c r="W1306" s="50"/>
      <c r="X1306" s="50"/>
      <c r="Y1306" s="50"/>
      <c r="Z1306" s="50"/>
      <c r="AA1306" s="50"/>
      <c r="AB1306" s="50"/>
    </row>
    <row r="1307" customHeight="1" spans="1:28">
      <c r="A1307" s="50"/>
      <c r="B1307" s="50"/>
      <c r="C1307" s="50"/>
      <c r="D1307" s="50"/>
      <c r="E1307" s="50"/>
      <c r="F1307" s="50"/>
      <c r="G1307" s="50"/>
      <c r="H1307" s="50"/>
      <c r="I1307" s="50"/>
      <c r="J1307" s="50"/>
      <c r="K1307" s="50"/>
      <c r="L1307" s="50"/>
      <c r="M1307" s="50"/>
      <c r="N1307" s="50"/>
      <c r="O1307" s="50"/>
      <c r="P1307" s="50"/>
      <c r="Q1307" s="50"/>
      <c r="R1307" s="50"/>
      <c r="S1307" s="50"/>
      <c r="T1307" s="50"/>
      <c r="U1307" s="50"/>
      <c r="V1307" s="50"/>
      <c r="W1307" s="50"/>
      <c r="X1307" s="50"/>
      <c r="Y1307" s="50"/>
      <c r="Z1307" s="50"/>
      <c r="AA1307" s="50"/>
      <c r="AB1307" s="50"/>
    </row>
    <row r="1308" customHeight="1" spans="1:28">
      <c r="A1308" s="50"/>
      <c r="B1308" s="50"/>
      <c r="C1308" s="50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  <c r="S1308" s="50"/>
      <c r="T1308" s="50"/>
      <c r="U1308" s="50"/>
      <c r="V1308" s="50"/>
      <c r="W1308" s="50"/>
      <c r="X1308" s="50"/>
      <c r="Y1308" s="50"/>
      <c r="Z1308" s="50"/>
      <c r="AA1308" s="50"/>
      <c r="AB1308" s="50"/>
    </row>
    <row r="1309" customHeight="1" spans="1:28">
      <c r="A1309" s="50"/>
      <c r="B1309" s="50"/>
      <c r="C1309" s="50"/>
      <c r="D1309" s="50"/>
      <c r="E1309" s="50"/>
      <c r="F1309" s="50"/>
      <c r="G1309" s="50"/>
      <c r="H1309" s="50"/>
      <c r="I1309" s="50"/>
      <c r="J1309" s="50"/>
      <c r="K1309" s="50"/>
      <c r="L1309" s="50"/>
      <c r="M1309" s="50"/>
      <c r="N1309" s="50"/>
      <c r="O1309" s="50"/>
      <c r="P1309" s="50"/>
      <c r="Q1309" s="50"/>
      <c r="R1309" s="50"/>
      <c r="S1309" s="50"/>
      <c r="T1309" s="50"/>
      <c r="U1309" s="50"/>
      <c r="V1309" s="50"/>
      <c r="W1309" s="50"/>
      <c r="X1309" s="50"/>
      <c r="Y1309" s="50"/>
      <c r="Z1309" s="50"/>
      <c r="AA1309" s="50"/>
      <c r="AB1309" s="50"/>
    </row>
    <row r="1310" customHeight="1" spans="1:28">
      <c r="A1310" s="50"/>
      <c r="B1310" s="50"/>
      <c r="C1310" s="50"/>
      <c r="D1310" s="50"/>
      <c r="E1310" s="50"/>
      <c r="F1310" s="50"/>
      <c r="G1310" s="50"/>
      <c r="H1310" s="50"/>
      <c r="I1310" s="50"/>
      <c r="J1310" s="50"/>
      <c r="K1310" s="50"/>
      <c r="L1310" s="50"/>
      <c r="M1310" s="50"/>
      <c r="N1310" s="50"/>
      <c r="O1310" s="50"/>
      <c r="P1310" s="50"/>
      <c r="Q1310" s="50"/>
      <c r="R1310" s="50"/>
      <c r="S1310" s="50"/>
      <c r="T1310" s="50"/>
      <c r="U1310" s="50"/>
      <c r="V1310" s="50"/>
      <c r="W1310" s="50"/>
      <c r="X1310" s="50"/>
      <c r="Y1310" s="50"/>
      <c r="Z1310" s="50"/>
      <c r="AA1310" s="50"/>
      <c r="AB1310" s="50"/>
    </row>
    <row r="1311" customHeight="1" spans="1:28">
      <c r="A1311" s="50"/>
      <c r="B1311" s="50"/>
      <c r="C1311" s="50"/>
      <c r="D1311" s="50"/>
      <c r="E1311" s="50"/>
      <c r="F1311" s="50"/>
      <c r="G1311" s="50"/>
      <c r="H1311" s="50"/>
      <c r="I1311" s="50"/>
      <c r="J1311" s="50"/>
      <c r="K1311" s="50"/>
      <c r="L1311" s="50"/>
      <c r="M1311" s="50"/>
      <c r="N1311" s="50"/>
      <c r="O1311" s="50"/>
      <c r="P1311" s="50"/>
      <c r="Q1311" s="50"/>
      <c r="R1311" s="50"/>
      <c r="S1311" s="50"/>
      <c r="T1311" s="50"/>
      <c r="U1311" s="50"/>
      <c r="V1311" s="50"/>
      <c r="W1311" s="50"/>
      <c r="X1311" s="50"/>
      <c r="Y1311" s="50"/>
      <c r="Z1311" s="50"/>
      <c r="AA1311" s="50"/>
      <c r="AB1311" s="50"/>
    </row>
    <row r="1312" customHeight="1" spans="1:28">
      <c r="A1312" s="50"/>
      <c r="B1312" s="50"/>
      <c r="C1312" s="50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  <c r="S1312" s="50"/>
      <c r="T1312" s="50"/>
      <c r="U1312" s="50"/>
      <c r="V1312" s="50"/>
      <c r="W1312" s="50"/>
      <c r="X1312" s="50"/>
      <c r="Y1312" s="50"/>
      <c r="Z1312" s="50"/>
      <c r="AA1312" s="50"/>
      <c r="AB1312" s="50"/>
    </row>
    <row r="1313" customHeight="1" spans="1:28">
      <c r="A1313" s="50"/>
      <c r="B1313" s="50"/>
      <c r="C1313" s="50"/>
      <c r="D1313" s="50"/>
      <c r="E1313" s="50"/>
      <c r="F1313" s="50"/>
      <c r="G1313" s="50"/>
      <c r="H1313" s="50"/>
      <c r="I1313" s="50"/>
      <c r="J1313" s="50"/>
      <c r="K1313" s="50"/>
      <c r="L1313" s="50"/>
      <c r="M1313" s="50"/>
      <c r="N1313" s="50"/>
      <c r="O1313" s="50"/>
      <c r="P1313" s="50"/>
      <c r="Q1313" s="50"/>
      <c r="R1313" s="50"/>
      <c r="S1313" s="50"/>
      <c r="T1313" s="50"/>
      <c r="U1313" s="50"/>
      <c r="V1313" s="50"/>
      <c r="W1313" s="50"/>
      <c r="X1313" s="50"/>
      <c r="Y1313" s="50"/>
      <c r="Z1313" s="50"/>
      <c r="AA1313" s="50"/>
      <c r="AB1313" s="50"/>
    </row>
    <row r="1314" customHeight="1" spans="1:28">
      <c r="A1314" s="50"/>
      <c r="B1314" s="50"/>
      <c r="C1314" s="50"/>
      <c r="D1314" s="50"/>
      <c r="E1314" s="50"/>
      <c r="F1314" s="50"/>
      <c r="G1314" s="50"/>
      <c r="H1314" s="50"/>
      <c r="I1314" s="50"/>
      <c r="J1314" s="50"/>
      <c r="K1314" s="50"/>
      <c r="L1314" s="50"/>
      <c r="M1314" s="50"/>
      <c r="N1314" s="50"/>
      <c r="O1314" s="50"/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0"/>
      <c r="AA1314" s="50"/>
      <c r="AB1314" s="50"/>
    </row>
    <row r="1315" customHeight="1" spans="1:28">
      <c r="A1315" s="50"/>
      <c r="B1315" s="50"/>
      <c r="C1315" s="50"/>
      <c r="D1315" s="50"/>
      <c r="E1315" s="50"/>
      <c r="F1315" s="50"/>
      <c r="G1315" s="50"/>
      <c r="H1315" s="50"/>
      <c r="I1315" s="50"/>
      <c r="J1315" s="50"/>
      <c r="K1315" s="50"/>
      <c r="L1315" s="50"/>
      <c r="M1315" s="50"/>
      <c r="N1315" s="50"/>
      <c r="O1315" s="50"/>
      <c r="P1315" s="50"/>
      <c r="Q1315" s="50"/>
      <c r="R1315" s="50"/>
      <c r="S1315" s="50"/>
      <c r="T1315" s="50"/>
      <c r="U1315" s="50"/>
      <c r="V1315" s="50"/>
      <c r="W1315" s="50"/>
      <c r="X1315" s="50"/>
      <c r="Y1315" s="50"/>
      <c r="Z1315" s="50"/>
      <c r="AA1315" s="50"/>
      <c r="AB1315" s="50"/>
    </row>
    <row r="1316" customHeight="1" spans="1:28">
      <c r="A1316" s="50"/>
      <c r="B1316" s="50"/>
      <c r="C1316" s="50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  <c r="S1316" s="50"/>
      <c r="T1316" s="50"/>
      <c r="U1316" s="50"/>
      <c r="V1316" s="50"/>
      <c r="W1316" s="50"/>
      <c r="X1316" s="50"/>
      <c r="Y1316" s="50"/>
      <c r="Z1316" s="50"/>
      <c r="AA1316" s="50"/>
      <c r="AB1316" s="50"/>
    </row>
    <row r="1317" customHeight="1" spans="1:28">
      <c r="A1317" s="50"/>
      <c r="B1317" s="50"/>
      <c r="C1317" s="50"/>
      <c r="D1317" s="50"/>
      <c r="E1317" s="50"/>
      <c r="F1317" s="50"/>
      <c r="G1317" s="50"/>
      <c r="H1317" s="50"/>
      <c r="I1317" s="50"/>
      <c r="J1317" s="50"/>
      <c r="K1317" s="50"/>
      <c r="L1317" s="50"/>
      <c r="M1317" s="50"/>
      <c r="N1317" s="50"/>
      <c r="O1317" s="50"/>
      <c r="P1317" s="50"/>
      <c r="Q1317" s="50"/>
      <c r="R1317" s="50"/>
      <c r="S1317" s="50"/>
      <c r="T1317" s="50"/>
      <c r="U1317" s="50"/>
      <c r="V1317" s="50"/>
      <c r="W1317" s="50"/>
      <c r="X1317" s="50"/>
      <c r="Y1317" s="50"/>
      <c r="Z1317" s="50"/>
      <c r="AA1317" s="50"/>
      <c r="AB1317" s="50"/>
    </row>
    <row r="1318" customHeight="1" spans="1:28">
      <c r="A1318" s="50"/>
      <c r="B1318" s="50"/>
      <c r="C1318" s="50"/>
      <c r="D1318" s="50"/>
      <c r="E1318" s="50"/>
      <c r="F1318" s="50"/>
      <c r="G1318" s="50"/>
      <c r="H1318" s="50"/>
      <c r="I1318" s="50"/>
      <c r="J1318" s="50"/>
      <c r="K1318" s="50"/>
      <c r="L1318" s="50"/>
      <c r="M1318" s="50"/>
      <c r="N1318" s="50"/>
      <c r="O1318" s="50"/>
      <c r="P1318" s="50"/>
      <c r="Q1318" s="50"/>
      <c r="R1318" s="50"/>
      <c r="S1318" s="50"/>
      <c r="T1318" s="50"/>
      <c r="U1318" s="50"/>
      <c r="V1318" s="50"/>
      <c r="W1318" s="50"/>
      <c r="X1318" s="50"/>
      <c r="Y1318" s="50"/>
      <c r="Z1318" s="50"/>
      <c r="AA1318" s="50"/>
      <c r="AB1318" s="50"/>
    </row>
    <row r="1319" customHeight="1" spans="1:28">
      <c r="A1319" s="50"/>
      <c r="B1319" s="50"/>
      <c r="C1319" s="50"/>
      <c r="D1319" s="50"/>
      <c r="E1319" s="50"/>
      <c r="F1319" s="50"/>
      <c r="G1319" s="50"/>
      <c r="H1319" s="50"/>
      <c r="I1319" s="50"/>
      <c r="J1319" s="50"/>
      <c r="K1319" s="50"/>
      <c r="L1319" s="50"/>
      <c r="M1319" s="50"/>
      <c r="N1319" s="50"/>
      <c r="O1319" s="50"/>
      <c r="P1319" s="50"/>
      <c r="Q1319" s="50"/>
      <c r="R1319" s="50"/>
      <c r="S1319" s="50"/>
      <c r="T1319" s="50"/>
      <c r="U1319" s="50"/>
      <c r="V1319" s="50"/>
      <c r="W1319" s="50"/>
      <c r="X1319" s="50"/>
      <c r="Y1319" s="50"/>
      <c r="Z1319" s="50"/>
      <c r="AA1319" s="50"/>
      <c r="AB1319" s="50"/>
    </row>
    <row r="1320" customHeight="1" spans="1:28">
      <c r="A1320" s="50"/>
      <c r="B1320" s="50"/>
      <c r="C1320" s="50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  <c r="S1320" s="50"/>
      <c r="T1320" s="50"/>
      <c r="U1320" s="50"/>
      <c r="V1320" s="50"/>
      <c r="W1320" s="50"/>
      <c r="X1320" s="50"/>
      <c r="Y1320" s="50"/>
      <c r="Z1320" s="50"/>
      <c r="AA1320" s="50"/>
      <c r="AB1320" s="50"/>
    </row>
    <row r="1321" customHeight="1" spans="1:28">
      <c r="A1321" s="50"/>
      <c r="B1321" s="50"/>
      <c r="C1321" s="50"/>
      <c r="D1321" s="50"/>
      <c r="E1321" s="50"/>
      <c r="F1321" s="50"/>
      <c r="G1321" s="50"/>
      <c r="H1321" s="50"/>
      <c r="I1321" s="50"/>
      <c r="J1321" s="50"/>
      <c r="K1321" s="50"/>
      <c r="L1321" s="50"/>
      <c r="M1321" s="50"/>
      <c r="N1321" s="50"/>
      <c r="O1321" s="50"/>
      <c r="P1321" s="50"/>
      <c r="Q1321" s="50"/>
      <c r="R1321" s="50"/>
      <c r="S1321" s="50"/>
      <c r="T1321" s="50"/>
      <c r="U1321" s="50"/>
      <c r="V1321" s="50"/>
      <c r="W1321" s="50"/>
      <c r="X1321" s="50"/>
      <c r="Y1321" s="50"/>
      <c r="Z1321" s="50"/>
      <c r="AA1321" s="50"/>
      <c r="AB1321" s="50"/>
    </row>
    <row r="1322" customHeight="1" spans="1:28">
      <c r="A1322" s="50"/>
      <c r="B1322" s="50"/>
      <c r="C1322" s="50"/>
      <c r="D1322" s="50"/>
      <c r="E1322" s="50"/>
      <c r="F1322" s="50"/>
      <c r="G1322" s="50"/>
      <c r="H1322" s="50"/>
      <c r="I1322" s="50"/>
      <c r="J1322" s="50"/>
      <c r="K1322" s="50"/>
      <c r="L1322" s="50"/>
      <c r="M1322" s="50"/>
      <c r="N1322" s="50"/>
      <c r="O1322" s="50"/>
      <c r="P1322" s="50"/>
      <c r="Q1322" s="50"/>
      <c r="R1322" s="50"/>
      <c r="S1322" s="50"/>
      <c r="T1322" s="50"/>
      <c r="U1322" s="50"/>
      <c r="V1322" s="50"/>
      <c r="W1322" s="50"/>
      <c r="X1322" s="50"/>
      <c r="Y1322" s="50"/>
      <c r="Z1322" s="50"/>
      <c r="AA1322" s="50"/>
      <c r="AB1322" s="50"/>
    </row>
    <row r="1323" customHeight="1" spans="1:28">
      <c r="A1323" s="50"/>
      <c r="B1323" s="50"/>
      <c r="C1323" s="50"/>
      <c r="D1323" s="50"/>
      <c r="E1323" s="50"/>
      <c r="F1323" s="50"/>
      <c r="G1323" s="50"/>
      <c r="H1323" s="50"/>
      <c r="I1323" s="50"/>
      <c r="J1323" s="50"/>
      <c r="K1323" s="50"/>
      <c r="L1323" s="50"/>
      <c r="M1323" s="50"/>
      <c r="N1323" s="50"/>
      <c r="O1323" s="50"/>
      <c r="P1323" s="50"/>
      <c r="Q1323" s="50"/>
      <c r="R1323" s="50"/>
      <c r="S1323" s="50"/>
      <c r="T1323" s="50"/>
      <c r="U1323" s="50"/>
      <c r="V1323" s="50"/>
      <c r="W1323" s="50"/>
      <c r="X1323" s="50"/>
      <c r="Y1323" s="50"/>
      <c r="Z1323" s="50"/>
      <c r="AA1323" s="50"/>
      <c r="AB1323" s="50"/>
    </row>
    <row r="1324" customHeight="1" spans="1:28">
      <c r="A1324" s="50"/>
      <c r="B1324" s="50"/>
      <c r="C1324" s="50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  <c r="S1324" s="50"/>
      <c r="T1324" s="50"/>
      <c r="U1324" s="50"/>
      <c r="V1324" s="50"/>
      <c r="W1324" s="50"/>
      <c r="X1324" s="50"/>
      <c r="Y1324" s="50"/>
      <c r="Z1324" s="50"/>
      <c r="AA1324" s="50"/>
      <c r="AB1324" s="50"/>
    </row>
    <row r="1325" customHeight="1" spans="1:28">
      <c r="A1325" s="50"/>
      <c r="B1325" s="50"/>
      <c r="C1325" s="50"/>
      <c r="D1325" s="50"/>
      <c r="E1325" s="50"/>
      <c r="F1325" s="50"/>
      <c r="G1325" s="50"/>
      <c r="H1325" s="50"/>
      <c r="I1325" s="50"/>
      <c r="J1325" s="50"/>
      <c r="K1325" s="50"/>
      <c r="L1325" s="50"/>
      <c r="M1325" s="50"/>
      <c r="N1325" s="50"/>
      <c r="O1325" s="50"/>
      <c r="P1325" s="50"/>
      <c r="Q1325" s="50"/>
      <c r="R1325" s="50"/>
      <c r="S1325" s="50"/>
      <c r="T1325" s="50"/>
      <c r="U1325" s="50"/>
      <c r="V1325" s="50"/>
      <c r="W1325" s="50"/>
      <c r="X1325" s="50"/>
      <c r="Y1325" s="50"/>
      <c r="Z1325" s="50"/>
      <c r="AA1325" s="50"/>
      <c r="AB1325" s="50"/>
    </row>
    <row r="1326" customHeight="1" spans="1:28">
      <c r="A1326" s="50"/>
      <c r="B1326" s="50"/>
      <c r="C1326" s="50"/>
      <c r="D1326" s="50"/>
      <c r="E1326" s="50"/>
      <c r="F1326" s="50"/>
      <c r="G1326" s="50"/>
      <c r="H1326" s="50"/>
      <c r="I1326" s="50"/>
      <c r="J1326" s="50"/>
      <c r="K1326" s="50"/>
      <c r="L1326" s="50"/>
      <c r="M1326" s="50"/>
      <c r="N1326" s="50"/>
      <c r="O1326" s="50"/>
      <c r="P1326" s="50"/>
      <c r="Q1326" s="50"/>
      <c r="R1326" s="50"/>
      <c r="S1326" s="50"/>
      <c r="T1326" s="50"/>
      <c r="U1326" s="50"/>
      <c r="V1326" s="50"/>
      <c r="W1326" s="50"/>
      <c r="X1326" s="50"/>
      <c r="Y1326" s="50"/>
      <c r="Z1326" s="50"/>
      <c r="AA1326" s="50"/>
      <c r="AB1326" s="50"/>
    </row>
    <row r="1327" customHeight="1" spans="1:28">
      <c r="A1327" s="50"/>
      <c r="B1327" s="50"/>
      <c r="C1327" s="50"/>
      <c r="D1327" s="50"/>
      <c r="E1327" s="50"/>
      <c r="F1327" s="50"/>
      <c r="G1327" s="50"/>
      <c r="H1327" s="50"/>
      <c r="I1327" s="50"/>
      <c r="J1327" s="50"/>
      <c r="K1327" s="50"/>
      <c r="L1327" s="50"/>
      <c r="M1327" s="50"/>
      <c r="N1327" s="50"/>
      <c r="O1327" s="50"/>
      <c r="P1327" s="50"/>
      <c r="Q1327" s="50"/>
      <c r="R1327" s="50"/>
      <c r="S1327" s="50"/>
      <c r="T1327" s="50"/>
      <c r="U1327" s="50"/>
      <c r="V1327" s="50"/>
      <c r="W1327" s="50"/>
      <c r="X1327" s="50"/>
      <c r="Y1327" s="50"/>
      <c r="Z1327" s="50"/>
      <c r="AA1327" s="50"/>
      <c r="AB1327" s="50"/>
    </row>
    <row r="1328" customHeight="1" spans="1:28">
      <c r="A1328" s="50"/>
      <c r="B1328" s="50"/>
      <c r="C1328" s="50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  <c r="S1328" s="50"/>
      <c r="T1328" s="50"/>
      <c r="U1328" s="50"/>
      <c r="V1328" s="50"/>
      <c r="W1328" s="50"/>
      <c r="X1328" s="50"/>
      <c r="Y1328" s="50"/>
      <c r="Z1328" s="50"/>
      <c r="AA1328" s="50"/>
      <c r="AB1328" s="50"/>
    </row>
    <row r="1329" customHeight="1" spans="1:28">
      <c r="A1329" s="50"/>
      <c r="B1329" s="50"/>
      <c r="C1329" s="50"/>
      <c r="D1329" s="50"/>
      <c r="E1329" s="50"/>
      <c r="F1329" s="50"/>
      <c r="G1329" s="50"/>
      <c r="H1329" s="50"/>
      <c r="I1329" s="50"/>
      <c r="J1329" s="50"/>
      <c r="K1329" s="50"/>
      <c r="L1329" s="50"/>
      <c r="M1329" s="50"/>
      <c r="N1329" s="50"/>
      <c r="O1329" s="50"/>
      <c r="P1329" s="50"/>
      <c r="Q1329" s="50"/>
      <c r="R1329" s="50"/>
      <c r="S1329" s="50"/>
      <c r="T1329" s="50"/>
      <c r="U1329" s="50"/>
      <c r="V1329" s="50"/>
      <c r="W1329" s="50"/>
      <c r="X1329" s="50"/>
      <c r="Y1329" s="50"/>
      <c r="Z1329" s="50"/>
      <c r="AA1329" s="50"/>
      <c r="AB1329" s="50"/>
    </row>
    <row r="1330" customHeight="1" spans="1:28">
      <c r="A1330" s="50"/>
      <c r="B1330" s="50"/>
      <c r="C1330" s="50"/>
      <c r="D1330" s="50"/>
      <c r="E1330" s="50"/>
      <c r="F1330" s="50"/>
      <c r="G1330" s="50"/>
      <c r="H1330" s="50"/>
      <c r="I1330" s="50"/>
      <c r="J1330" s="50"/>
      <c r="K1330" s="50"/>
      <c r="L1330" s="50"/>
      <c r="M1330" s="50"/>
      <c r="N1330" s="50"/>
      <c r="O1330" s="50"/>
      <c r="P1330" s="50"/>
      <c r="Q1330" s="50"/>
      <c r="R1330" s="50"/>
      <c r="S1330" s="50"/>
      <c r="T1330" s="50"/>
      <c r="U1330" s="50"/>
      <c r="V1330" s="50"/>
      <c r="W1330" s="50"/>
      <c r="X1330" s="50"/>
      <c r="Y1330" s="50"/>
      <c r="Z1330" s="50"/>
      <c r="AA1330" s="50"/>
      <c r="AB1330" s="50"/>
    </row>
    <row r="1331" customHeight="1" spans="1:28">
      <c r="A1331" s="50"/>
      <c r="B1331" s="50"/>
      <c r="C1331" s="50"/>
      <c r="D1331" s="50"/>
      <c r="E1331" s="50"/>
      <c r="F1331" s="50"/>
      <c r="G1331" s="50"/>
      <c r="H1331" s="50"/>
      <c r="I1331" s="50"/>
      <c r="J1331" s="50"/>
      <c r="K1331" s="50"/>
      <c r="L1331" s="50"/>
      <c r="M1331" s="50"/>
      <c r="N1331" s="50"/>
      <c r="O1331" s="50"/>
      <c r="P1331" s="50"/>
      <c r="Q1331" s="50"/>
      <c r="R1331" s="50"/>
      <c r="S1331" s="50"/>
      <c r="T1331" s="50"/>
      <c r="U1331" s="50"/>
      <c r="V1331" s="50"/>
      <c r="W1331" s="50"/>
      <c r="X1331" s="50"/>
      <c r="Y1331" s="50"/>
      <c r="Z1331" s="50"/>
      <c r="AA1331" s="50"/>
      <c r="AB1331" s="50"/>
    </row>
    <row r="1332" customHeight="1" spans="1:28">
      <c r="A1332" s="50"/>
      <c r="B1332" s="50"/>
      <c r="C1332" s="50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  <c r="S1332" s="50"/>
      <c r="T1332" s="50"/>
      <c r="U1332" s="50"/>
      <c r="V1332" s="50"/>
      <c r="W1332" s="50"/>
      <c r="X1332" s="50"/>
      <c r="Y1332" s="50"/>
      <c r="Z1332" s="50"/>
      <c r="AA1332" s="50"/>
      <c r="AB1332" s="50"/>
    </row>
    <row r="1333" customHeight="1" spans="1:28">
      <c r="A1333" s="50"/>
      <c r="B1333" s="50"/>
      <c r="C1333" s="50"/>
      <c r="D1333" s="50"/>
      <c r="E1333" s="50"/>
      <c r="F1333" s="50"/>
      <c r="G1333" s="50"/>
      <c r="H1333" s="50"/>
      <c r="I1333" s="50"/>
      <c r="J1333" s="50"/>
      <c r="K1333" s="50"/>
      <c r="L1333" s="50"/>
      <c r="M1333" s="50"/>
      <c r="N1333" s="50"/>
      <c r="O1333" s="50"/>
      <c r="P1333" s="50"/>
      <c r="Q1333" s="50"/>
      <c r="R1333" s="50"/>
      <c r="S1333" s="50"/>
      <c r="T1333" s="50"/>
      <c r="U1333" s="50"/>
      <c r="V1333" s="50"/>
      <c r="W1333" s="50"/>
      <c r="X1333" s="50"/>
      <c r="Y1333" s="50"/>
      <c r="Z1333" s="50"/>
      <c r="AA1333" s="50"/>
      <c r="AB1333" s="50"/>
    </row>
    <row r="1334" customHeight="1" spans="1:28">
      <c r="A1334" s="50"/>
      <c r="B1334" s="50"/>
      <c r="C1334" s="50"/>
      <c r="D1334" s="50"/>
      <c r="E1334" s="50"/>
      <c r="F1334" s="50"/>
      <c r="G1334" s="50"/>
      <c r="H1334" s="50"/>
      <c r="I1334" s="50"/>
      <c r="J1334" s="50"/>
      <c r="K1334" s="50"/>
      <c r="L1334" s="50"/>
      <c r="M1334" s="50"/>
      <c r="N1334" s="50"/>
      <c r="O1334" s="50"/>
      <c r="P1334" s="50"/>
      <c r="Q1334" s="50"/>
      <c r="R1334" s="50"/>
      <c r="S1334" s="50"/>
      <c r="T1334" s="50"/>
      <c r="U1334" s="50"/>
      <c r="V1334" s="50"/>
      <c r="W1334" s="50"/>
      <c r="X1334" s="50"/>
      <c r="Y1334" s="50"/>
      <c r="Z1334" s="50"/>
      <c r="AA1334" s="50"/>
      <c r="AB1334" s="50"/>
    </row>
    <row r="1335" customHeight="1" spans="1:28">
      <c r="A1335" s="50"/>
      <c r="B1335" s="50"/>
      <c r="C1335" s="50"/>
      <c r="D1335" s="50"/>
      <c r="E1335" s="50"/>
      <c r="F1335" s="50"/>
      <c r="G1335" s="50"/>
      <c r="H1335" s="50"/>
      <c r="I1335" s="50"/>
      <c r="J1335" s="50"/>
      <c r="K1335" s="50"/>
      <c r="L1335" s="50"/>
      <c r="M1335" s="50"/>
      <c r="N1335" s="50"/>
      <c r="O1335" s="50"/>
      <c r="P1335" s="50"/>
      <c r="Q1335" s="50"/>
      <c r="R1335" s="50"/>
      <c r="S1335" s="50"/>
      <c r="T1335" s="50"/>
      <c r="U1335" s="50"/>
      <c r="V1335" s="50"/>
      <c r="W1335" s="50"/>
      <c r="X1335" s="50"/>
      <c r="Y1335" s="50"/>
      <c r="Z1335" s="50"/>
      <c r="AA1335" s="50"/>
      <c r="AB1335" s="50"/>
    </row>
  </sheetData>
  <mergeCells count="6">
    <mergeCell ref="C1:I1"/>
    <mergeCell ref="C42:I42"/>
    <mergeCell ref="C62:I62"/>
    <mergeCell ref="C135:I135"/>
    <mergeCell ref="D233:J233"/>
    <mergeCell ref="D335:J33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1002"/>
  <sheetViews>
    <sheetView workbookViewId="0">
      <selection activeCell="A1" sqref="A1"/>
    </sheetView>
  </sheetViews>
  <sheetFormatPr defaultColWidth="12.6339285714286" defaultRowHeight="15.75" customHeight="1"/>
  <cols>
    <col min="3" max="5" width="12.6339285714286" hidden="1"/>
    <col min="6" max="6" width="17" customWidth="1"/>
    <col min="7" max="7" width="18.75" customWidth="1"/>
    <col min="12" max="17" width="12.6339285714286" hidden="1"/>
  </cols>
  <sheetData>
    <row r="1" customHeight="1" spans="1:28">
      <c r="A1" s="5"/>
      <c r="B1" s="5"/>
      <c r="C1" s="5"/>
      <c r="D1" s="5"/>
      <c r="E1" s="5"/>
      <c r="F1" s="2" t="s">
        <v>63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customHeight="1" spans="1:28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customHeight="1" spans="1:28">
      <c r="A3" s="5"/>
      <c r="B3" s="5"/>
      <c r="C3" s="5"/>
      <c r="D3" s="5"/>
      <c r="E3" s="5"/>
      <c r="F3" s="3" t="s">
        <v>64</v>
      </c>
      <c r="G3" s="8" t="s">
        <v>10</v>
      </c>
      <c r="H3" s="8" t="s">
        <v>11</v>
      </c>
      <c r="I3" s="8" t="s">
        <v>12</v>
      </c>
      <c r="J3" s="8" t="s">
        <v>13</v>
      </c>
      <c r="K3" s="8" t="s">
        <v>33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customHeight="1" spans="1:28">
      <c r="A4" s="5"/>
      <c r="B4" s="5"/>
      <c r="C4" s="5"/>
      <c r="D4" s="5"/>
      <c r="E4" s="5"/>
      <c r="F4" s="4" t="s">
        <v>42</v>
      </c>
      <c r="G4" s="15">
        <v>100000</v>
      </c>
      <c r="H4" s="15">
        <v>125000</v>
      </c>
      <c r="I4" s="15">
        <v>125000</v>
      </c>
      <c r="J4" s="15">
        <v>150000</v>
      </c>
      <c r="K4" s="20">
        <f>SUM(G4:J4)</f>
        <v>500000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customHeight="1" spans="1:28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customHeight="1" spans="1:28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 t="s">
        <v>65</v>
      </c>
      <c r="N6" s="6" t="s">
        <v>22</v>
      </c>
      <c r="O6" s="6" t="s">
        <v>23</v>
      </c>
      <c r="P6" s="6" t="s">
        <v>24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customHeight="1" spans="1:28">
      <c r="A7" s="39"/>
      <c r="B7" s="39"/>
      <c r="C7" s="39">
        <v>225000</v>
      </c>
      <c r="D7" s="5" t="s">
        <v>66</v>
      </c>
      <c r="E7" s="5"/>
      <c r="F7" s="3" t="s">
        <v>20</v>
      </c>
      <c r="G7" s="6" t="s">
        <v>66</v>
      </c>
      <c r="H7" s="6" t="s">
        <v>67</v>
      </c>
      <c r="I7" s="6" t="s">
        <v>23</v>
      </c>
      <c r="J7" s="6" t="s">
        <v>24</v>
      </c>
      <c r="K7" s="5"/>
      <c r="L7" s="5"/>
      <c r="M7" s="15">
        <v>350000</v>
      </c>
      <c r="N7" s="15">
        <v>100000</v>
      </c>
      <c r="O7" s="15">
        <v>300000</v>
      </c>
      <c r="P7" s="15">
        <v>250000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customHeight="1" spans="1:28">
      <c r="A8" s="5"/>
      <c r="B8" s="5"/>
      <c r="C8" s="5"/>
      <c r="D8" s="40">
        <f t="shared" ref="D8:D13" si="0">(G8+H8)/2</f>
        <v>0.545</v>
      </c>
      <c r="E8" s="5"/>
      <c r="F8" s="6" t="s">
        <v>26</v>
      </c>
      <c r="G8" s="16">
        <v>0.49</v>
      </c>
      <c r="H8" s="16">
        <v>0.6</v>
      </c>
      <c r="I8" s="16">
        <v>0.9</v>
      </c>
      <c r="J8" s="16">
        <v>0.75</v>
      </c>
      <c r="K8" s="5"/>
      <c r="L8" s="5"/>
      <c r="M8" s="47">
        <v>0.7</v>
      </c>
      <c r="N8" s="47">
        <v>0.7</v>
      </c>
      <c r="O8" s="47">
        <v>0.7</v>
      </c>
      <c r="P8" s="47">
        <v>0.7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customHeight="1" spans="1:28">
      <c r="A9" s="5"/>
      <c r="B9" s="5"/>
      <c r="C9" s="5"/>
      <c r="D9" s="40">
        <f t="shared" si="0"/>
        <v>0.375</v>
      </c>
      <c r="E9" s="5"/>
      <c r="F9" s="6" t="s">
        <v>27</v>
      </c>
      <c r="G9" s="16">
        <v>0.35</v>
      </c>
      <c r="H9" s="16">
        <v>0.4</v>
      </c>
      <c r="I9" s="16">
        <v>0.83</v>
      </c>
      <c r="J9" s="16">
        <v>1</v>
      </c>
      <c r="K9" s="5"/>
      <c r="L9" s="5"/>
      <c r="M9" s="15">
        <f t="shared" ref="M9:P9" si="1">M7*M8</f>
        <v>245000</v>
      </c>
      <c r="N9" s="15">
        <f t="shared" si="1"/>
        <v>70000</v>
      </c>
      <c r="O9" s="15">
        <f t="shared" si="1"/>
        <v>210000</v>
      </c>
      <c r="P9" s="15">
        <f t="shared" si="1"/>
        <v>175000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customHeight="1" spans="1:28">
      <c r="A10" s="5"/>
      <c r="B10" s="5"/>
      <c r="C10" s="5"/>
      <c r="D10" s="40">
        <f t="shared" si="0"/>
        <v>0.3925</v>
      </c>
      <c r="E10" s="5"/>
      <c r="F10" s="6" t="s">
        <v>28</v>
      </c>
      <c r="G10" s="16">
        <v>0.385</v>
      </c>
      <c r="H10" s="16">
        <v>0.4</v>
      </c>
      <c r="I10" s="16">
        <v>0.7</v>
      </c>
      <c r="J10" s="16">
        <v>0.6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customHeight="1" spans="1:28">
      <c r="A11" s="5"/>
      <c r="B11" s="5"/>
      <c r="C11" s="5"/>
      <c r="D11" s="40">
        <f t="shared" si="0"/>
        <v>0.78935</v>
      </c>
      <c r="E11" s="5"/>
      <c r="F11" s="6" t="s">
        <v>29</v>
      </c>
      <c r="G11" s="16">
        <v>0.7387</v>
      </c>
      <c r="H11" s="16">
        <v>0.84</v>
      </c>
      <c r="I11" s="16">
        <v>0.8889</v>
      </c>
      <c r="J11" s="16">
        <v>1</v>
      </c>
      <c r="K11" s="5"/>
      <c r="L11" s="5"/>
      <c r="M11" s="43">
        <f>G4/K4</f>
        <v>0.2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customHeight="1" spans="1:28">
      <c r="A12" s="5"/>
      <c r="B12" s="5"/>
      <c r="C12" s="5"/>
      <c r="D12" s="40">
        <f t="shared" si="0"/>
        <v>0.84</v>
      </c>
      <c r="E12" s="5"/>
      <c r="F12" s="6" t="s">
        <v>30</v>
      </c>
      <c r="G12" s="16">
        <v>0.86</v>
      </c>
      <c r="H12" s="16">
        <v>0.82</v>
      </c>
      <c r="I12" s="16">
        <v>0.95</v>
      </c>
      <c r="J12" s="16">
        <v>0.85</v>
      </c>
      <c r="K12" s="5"/>
      <c r="L12" s="5"/>
      <c r="M12" s="43">
        <f>H4/K4</f>
        <v>0.25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customHeight="1" spans="1:28">
      <c r="A13" s="5"/>
      <c r="B13" s="5"/>
      <c r="C13" s="5"/>
      <c r="D13" s="40">
        <f t="shared" si="0"/>
        <v>0.0540354411275</v>
      </c>
      <c r="E13" s="5"/>
      <c r="F13" s="5" t="s">
        <v>31</v>
      </c>
      <c r="G13" s="43">
        <f t="shared" ref="G13:J13" si="2">G8*G9*G10*G11*G12</f>
        <v>0.041946082255</v>
      </c>
      <c r="H13" s="43">
        <f t="shared" si="2"/>
        <v>0.0661248</v>
      </c>
      <c r="I13" s="43">
        <f t="shared" si="2"/>
        <v>0.4415655195</v>
      </c>
      <c r="J13" s="43">
        <f t="shared" si="2"/>
        <v>0.3825</v>
      </c>
      <c r="K13" s="45"/>
      <c r="L13" s="5"/>
      <c r="M13" s="43">
        <f>I4/K4</f>
        <v>0.25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customHeight="1" spans="1:28">
      <c r="A14" s="5"/>
      <c r="B14" s="5"/>
      <c r="C14" s="5"/>
      <c r="D14" s="5"/>
      <c r="E14" s="5"/>
      <c r="F14" s="7" t="s">
        <v>14</v>
      </c>
      <c r="L14" s="46">
        <v>0.3</v>
      </c>
      <c r="M14" s="43">
        <f>J4/K4</f>
        <v>0.3</v>
      </c>
      <c r="N14" s="5"/>
      <c r="O14" s="14">
        <v>122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customHeight="1" spans="1:28">
      <c r="A15" s="41"/>
      <c r="B15" s="41"/>
      <c r="C15" s="41">
        <f>C7*M11</f>
        <v>45000</v>
      </c>
      <c r="D15" s="5"/>
      <c r="E15" s="5"/>
      <c r="F15" s="5"/>
      <c r="G15" s="5"/>
      <c r="H15" s="5"/>
      <c r="I15" s="5"/>
      <c r="J15" s="5"/>
      <c r="K15" s="5"/>
      <c r="L15" s="46">
        <v>0.28</v>
      </c>
      <c r="M15" s="5"/>
      <c r="N15" s="5"/>
      <c r="O15" s="14">
        <v>150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customHeight="1" spans="1:28">
      <c r="A16" s="41"/>
      <c r="B16" s="41"/>
      <c r="C16" s="41">
        <f>C7*M12</f>
        <v>56250</v>
      </c>
      <c r="D16" s="5"/>
      <c r="E16" s="5"/>
      <c r="F16" s="3" t="s">
        <v>68</v>
      </c>
      <c r="G16" s="6" t="s">
        <v>66</v>
      </c>
      <c r="H16" s="6" t="s">
        <v>67</v>
      </c>
      <c r="I16" s="6" t="s">
        <v>23</v>
      </c>
      <c r="J16" s="6" t="s">
        <v>24</v>
      </c>
      <c r="K16" s="8" t="s">
        <v>33</v>
      </c>
      <c r="L16" s="46">
        <v>0.25</v>
      </c>
      <c r="M16" s="5"/>
      <c r="N16" s="5"/>
      <c r="O16" s="14">
        <v>50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customHeight="1" spans="1:28">
      <c r="A17" s="41"/>
      <c r="B17" s="41"/>
      <c r="C17" s="41">
        <f>C7*M13</f>
        <v>56250</v>
      </c>
      <c r="D17" s="5"/>
      <c r="E17" s="5"/>
      <c r="F17" s="8" t="s">
        <v>14</v>
      </c>
      <c r="G17" s="15">
        <v>225000</v>
      </c>
      <c r="H17" s="15">
        <v>0</v>
      </c>
      <c r="I17" s="15">
        <v>150000</v>
      </c>
      <c r="J17" s="15">
        <v>125000</v>
      </c>
      <c r="K17" s="20">
        <f>SUM(G17:J17)</f>
        <v>500000</v>
      </c>
      <c r="L17" s="46">
        <v>0.17</v>
      </c>
      <c r="M17" s="5"/>
      <c r="N17" s="5"/>
      <c r="O17" s="14">
        <f>SUM(O14:O16)</f>
        <v>322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customHeight="1" spans="1:28">
      <c r="A18" s="41"/>
      <c r="B18" s="41"/>
      <c r="C18" s="41">
        <f>C7*M14</f>
        <v>67500</v>
      </c>
      <c r="D18" s="5"/>
      <c r="E18" s="5"/>
      <c r="F18" s="4" t="s">
        <v>35</v>
      </c>
      <c r="G18" s="15">
        <v>25000</v>
      </c>
      <c r="H18" s="15">
        <v>25000</v>
      </c>
      <c r="I18" s="15">
        <v>18000</v>
      </c>
      <c r="J18" s="15">
        <v>8000</v>
      </c>
      <c r="K18" s="15">
        <f>K17/K21</f>
        <v>15170.6700379267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customHeight="1" spans="1:28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customHeight="1" spans="1:28">
      <c r="A20" s="5"/>
      <c r="B20" s="5"/>
      <c r="C20" s="5"/>
      <c r="D20" s="5"/>
      <c r="E20" s="5"/>
      <c r="F20" s="3" t="s">
        <v>14</v>
      </c>
      <c r="G20" s="6" t="s">
        <v>66</v>
      </c>
      <c r="H20" s="6" t="s">
        <v>67</v>
      </c>
      <c r="I20" s="6" t="s">
        <v>23</v>
      </c>
      <c r="J20" s="6" t="s">
        <v>24</v>
      </c>
      <c r="K20" s="8" t="s">
        <v>33</v>
      </c>
      <c r="L20" s="39">
        <f>(G17+H17)/K17</f>
        <v>0.45</v>
      </c>
      <c r="M20" s="5"/>
      <c r="N20" s="14" t="s">
        <v>24</v>
      </c>
      <c r="O20" s="14">
        <v>30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customHeight="1" spans="1:28">
      <c r="A21" s="5"/>
      <c r="B21" s="5"/>
      <c r="C21" s="5"/>
      <c r="D21" s="5"/>
      <c r="E21" s="9" t="s">
        <v>36</v>
      </c>
      <c r="F21" s="4" t="s">
        <v>3</v>
      </c>
      <c r="G21" s="18">
        <f t="shared" ref="G21:J21" si="3">G17/G18</f>
        <v>9</v>
      </c>
      <c r="H21" s="18">
        <f t="shared" si="3"/>
        <v>0</v>
      </c>
      <c r="I21" s="18">
        <f t="shared" si="3"/>
        <v>8.33333333333333</v>
      </c>
      <c r="J21" s="18">
        <f t="shared" si="3"/>
        <v>15.625</v>
      </c>
      <c r="K21" s="22">
        <f t="shared" ref="K21:K26" si="4">SUM(G21:J21)</f>
        <v>32.9583333333333</v>
      </c>
      <c r="L21" s="5"/>
      <c r="M21" s="5"/>
      <c r="N21" s="14" t="s">
        <v>22</v>
      </c>
      <c r="O21" s="14">
        <f>55+55+12</f>
        <v>122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customHeight="1" spans="1:28">
      <c r="A22" s="5"/>
      <c r="B22" s="5"/>
      <c r="C22" s="5"/>
      <c r="D22" s="5"/>
      <c r="E22" s="5"/>
      <c r="F22" s="4" t="s">
        <v>37</v>
      </c>
      <c r="G22" s="18">
        <f t="shared" ref="G22:J22" si="5">G31/G18</f>
        <v>10.4651162790698</v>
      </c>
      <c r="H22" s="18">
        <f t="shared" si="5"/>
        <v>0</v>
      </c>
      <c r="I22" s="18">
        <f t="shared" si="5"/>
        <v>8.7719298245614</v>
      </c>
      <c r="J22" s="18">
        <f t="shared" si="5"/>
        <v>18.3823529411765</v>
      </c>
      <c r="K22" s="22">
        <f t="shared" si="4"/>
        <v>37.6193990448076</v>
      </c>
      <c r="L22" s="5"/>
      <c r="M22" s="5"/>
      <c r="N22" s="14" t="s">
        <v>23</v>
      </c>
      <c r="O22" s="14">
        <f>66+50+53</f>
        <v>169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customHeight="1" spans="1:28">
      <c r="A23" s="5"/>
      <c r="B23" s="5"/>
      <c r="C23" s="5"/>
      <c r="D23" s="5"/>
      <c r="E23" s="5"/>
      <c r="F23" s="4" t="s">
        <v>38</v>
      </c>
      <c r="G23" s="18">
        <f t="shared" ref="G23:J23" si="6">G32/G18</f>
        <v>14.1669368878703</v>
      </c>
      <c r="H23" s="18">
        <f t="shared" si="6"/>
        <v>0</v>
      </c>
      <c r="I23" s="18">
        <f t="shared" si="6"/>
        <v>9.86829769891034</v>
      </c>
      <c r="J23" s="18">
        <f t="shared" si="6"/>
        <v>18.3823529411765</v>
      </c>
      <c r="K23" s="22">
        <f t="shared" si="4"/>
        <v>42.4175875279571</v>
      </c>
      <c r="L23" s="5"/>
      <c r="M23" s="5"/>
      <c r="N23" s="5"/>
      <c r="O23" s="14">
        <f>SUM(O20:O22)</f>
        <v>321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customHeight="1" spans="1:28">
      <c r="A24" s="5"/>
      <c r="B24" s="5"/>
      <c r="C24" s="5"/>
      <c r="D24" s="5"/>
      <c r="E24" s="5"/>
      <c r="F24" s="4" t="s">
        <v>39</v>
      </c>
      <c r="G24" s="18">
        <f t="shared" ref="G24:J24" si="7">G33/G18</f>
        <v>36.7972386697929</v>
      </c>
      <c r="H24" s="18">
        <f t="shared" si="7"/>
        <v>0</v>
      </c>
      <c r="I24" s="18">
        <f t="shared" si="7"/>
        <v>14.0975681413005</v>
      </c>
      <c r="J24" s="18">
        <f t="shared" si="7"/>
        <v>30.6372549019608</v>
      </c>
      <c r="K24" s="22">
        <f t="shared" si="4"/>
        <v>81.5320617130542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customHeight="1" spans="1:28">
      <c r="A25" s="5"/>
      <c r="B25" s="5"/>
      <c r="C25" s="5"/>
      <c r="D25" s="5"/>
      <c r="E25" s="5"/>
      <c r="F25" s="4" t="s">
        <v>40</v>
      </c>
      <c r="G25" s="18">
        <f t="shared" ref="G25:J25" si="8">G34/G18</f>
        <v>105.13496762798</v>
      </c>
      <c r="H25" s="18">
        <f t="shared" si="8"/>
        <v>0</v>
      </c>
      <c r="I25" s="18">
        <f t="shared" si="8"/>
        <v>16.9850218569885</v>
      </c>
      <c r="J25" s="18">
        <f t="shared" si="8"/>
        <v>30.6372549019608</v>
      </c>
      <c r="K25" s="22">
        <f t="shared" si="4"/>
        <v>152.757244386929</v>
      </c>
      <c r="L25" s="5"/>
      <c r="M25" s="5"/>
      <c r="N25" s="14" t="s">
        <v>22</v>
      </c>
      <c r="O25" s="48">
        <v>100000</v>
      </c>
      <c r="P25" s="48">
        <f t="shared" ref="P25:P28" si="9">O25/2+O25/2*20%</f>
        <v>60000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customHeight="1" spans="1:28">
      <c r="A26" s="5"/>
      <c r="B26" s="5"/>
      <c r="C26" s="5"/>
      <c r="D26" s="5"/>
      <c r="E26" s="5"/>
      <c r="F26" s="4" t="s">
        <v>41</v>
      </c>
      <c r="G26" s="18">
        <f t="shared" ref="G26:J26" si="10">G25/G8</f>
        <v>214.561158424448</v>
      </c>
      <c r="H26" s="18">
        <f t="shared" si="10"/>
        <v>0</v>
      </c>
      <c r="I26" s="18">
        <f t="shared" si="10"/>
        <v>18.8722465077651</v>
      </c>
      <c r="J26" s="18">
        <f t="shared" si="10"/>
        <v>40.8496732026144</v>
      </c>
      <c r="K26" s="22">
        <f t="shared" si="4"/>
        <v>274.283078134828</v>
      </c>
      <c r="L26" s="5"/>
      <c r="M26" s="5"/>
      <c r="N26" s="14" t="s">
        <v>23</v>
      </c>
      <c r="O26" s="48">
        <v>300000</v>
      </c>
      <c r="P26" s="48">
        <f t="shared" si="9"/>
        <v>180000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customHeight="1" spans="1:28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14" t="s">
        <v>24</v>
      </c>
      <c r="O27" s="48">
        <v>300000</v>
      </c>
      <c r="P27" s="48">
        <f t="shared" si="9"/>
        <v>180000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customHeight="1" spans="1: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14" t="s">
        <v>65</v>
      </c>
      <c r="O28" s="48">
        <v>300000</v>
      </c>
      <c r="P28" s="48">
        <f t="shared" si="9"/>
        <v>180000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customHeight="1" spans="1:28">
      <c r="A29" s="5"/>
      <c r="B29" s="5"/>
      <c r="C29" s="5"/>
      <c r="D29" s="5"/>
      <c r="E29" s="5"/>
      <c r="F29" s="3" t="s">
        <v>14</v>
      </c>
      <c r="G29" s="6" t="s">
        <v>66</v>
      </c>
      <c r="H29" s="6" t="s">
        <v>67</v>
      </c>
      <c r="I29" s="6" t="s">
        <v>23</v>
      </c>
      <c r="J29" s="6" t="s">
        <v>24</v>
      </c>
      <c r="K29" s="8" t="s">
        <v>33</v>
      </c>
      <c r="L29" s="5"/>
      <c r="M29" s="5"/>
      <c r="N29" s="5"/>
      <c r="O29" s="48">
        <f t="shared" ref="O29:P29" si="11">SUM(O25:O28)</f>
        <v>1000000</v>
      </c>
      <c r="P29" s="48">
        <f t="shared" si="11"/>
        <v>600000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customHeight="1" spans="1:28">
      <c r="A30" s="5"/>
      <c r="B30" s="5"/>
      <c r="C30" s="5"/>
      <c r="D30" s="5"/>
      <c r="E30" s="9" t="s">
        <v>42</v>
      </c>
      <c r="F30" s="4" t="s">
        <v>3</v>
      </c>
      <c r="G30" s="15">
        <f t="shared" ref="G30:J30" si="12">G17</f>
        <v>225000</v>
      </c>
      <c r="H30" s="15">
        <f t="shared" si="12"/>
        <v>0</v>
      </c>
      <c r="I30" s="15">
        <f t="shared" si="12"/>
        <v>150000</v>
      </c>
      <c r="J30" s="15">
        <f t="shared" si="12"/>
        <v>125000</v>
      </c>
      <c r="K30" s="20">
        <f t="shared" ref="K30:K34" si="13">SUM(G30:J30)</f>
        <v>500000</v>
      </c>
      <c r="L30" s="5"/>
      <c r="M30" s="5"/>
      <c r="N30" s="5"/>
      <c r="O30" s="49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customHeight="1" spans="1:28">
      <c r="A31" s="5"/>
      <c r="B31" s="5"/>
      <c r="C31" s="5"/>
      <c r="D31" s="5"/>
      <c r="E31" s="5"/>
      <c r="F31" s="4" t="s">
        <v>37</v>
      </c>
      <c r="G31" s="15">
        <f t="shared" ref="G31:J31" si="14">G17/G12</f>
        <v>261627.906976744</v>
      </c>
      <c r="H31" s="15">
        <f t="shared" si="14"/>
        <v>0</v>
      </c>
      <c r="I31" s="15">
        <f t="shared" si="14"/>
        <v>157894.736842105</v>
      </c>
      <c r="J31" s="15">
        <f t="shared" si="14"/>
        <v>147058.823529412</v>
      </c>
      <c r="K31" s="20">
        <f t="shared" si="13"/>
        <v>566581.467348261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customHeight="1" spans="1:28">
      <c r="A32" s="5"/>
      <c r="B32" s="5"/>
      <c r="C32" s="5"/>
      <c r="D32" s="5"/>
      <c r="E32" s="5"/>
      <c r="F32" s="4" t="s">
        <v>38</v>
      </c>
      <c r="G32" s="15">
        <f t="shared" ref="G32:J32" si="15">G31/G11</f>
        <v>354173.422196757</v>
      </c>
      <c r="H32" s="15">
        <f t="shared" si="15"/>
        <v>0</v>
      </c>
      <c r="I32" s="15">
        <f t="shared" si="15"/>
        <v>177629.358580386</v>
      </c>
      <c r="J32" s="15">
        <f t="shared" si="15"/>
        <v>147058.823529412</v>
      </c>
      <c r="K32" s="20">
        <f t="shared" si="13"/>
        <v>678861.604306555</v>
      </c>
      <c r="L32" s="5"/>
      <c r="M32" s="5"/>
      <c r="N32" s="14" t="s">
        <v>69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customHeight="1" spans="1:28">
      <c r="A33" s="5"/>
      <c r="B33" s="5"/>
      <c r="C33" s="5"/>
      <c r="D33" s="5"/>
      <c r="E33" s="5"/>
      <c r="F33" s="4" t="s">
        <v>39</v>
      </c>
      <c r="G33" s="15">
        <f t="shared" ref="G33:J33" si="16">G32/G10</f>
        <v>919930.966744823</v>
      </c>
      <c r="H33" s="15">
        <f t="shared" si="16"/>
        <v>0</v>
      </c>
      <c r="I33" s="15">
        <f t="shared" si="16"/>
        <v>253756.226543409</v>
      </c>
      <c r="J33" s="15">
        <f t="shared" si="16"/>
        <v>245098.039215686</v>
      </c>
      <c r="K33" s="20">
        <f t="shared" si="13"/>
        <v>1418785.23250392</v>
      </c>
      <c r="L33" s="5"/>
      <c r="M33" s="5"/>
      <c r="N33" s="14" t="s">
        <v>70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customHeight="1" spans="1:28">
      <c r="A34" s="5"/>
      <c r="B34" s="5"/>
      <c r="C34" s="5"/>
      <c r="D34" s="5"/>
      <c r="E34" s="5"/>
      <c r="F34" s="4" t="s">
        <v>40</v>
      </c>
      <c r="G34" s="15">
        <f t="shared" ref="G34:J34" si="17">G33/G9</f>
        <v>2628374.19069949</v>
      </c>
      <c r="H34" s="15">
        <f t="shared" si="17"/>
        <v>0</v>
      </c>
      <c r="I34" s="15">
        <f t="shared" si="17"/>
        <v>305730.393425794</v>
      </c>
      <c r="J34" s="15">
        <f t="shared" si="17"/>
        <v>245098.039215686</v>
      </c>
      <c r="K34" s="20">
        <f t="shared" si="13"/>
        <v>3179202.62334097</v>
      </c>
      <c r="L34" s="5"/>
      <c r="M34" s="5"/>
      <c r="N34" s="14" t="s">
        <v>71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customHeight="1" spans="1:28">
      <c r="A35" s="5"/>
      <c r="B35" s="5"/>
      <c r="C35" s="5"/>
      <c r="D35" s="5"/>
      <c r="E35" s="5"/>
      <c r="F35" s="5"/>
      <c r="G35" s="44"/>
      <c r="H35" s="44"/>
      <c r="I35" s="44"/>
      <c r="J35" s="44"/>
      <c r="K35" s="44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customHeight="1" spans="1:28">
      <c r="A36" s="5"/>
      <c r="B36" s="5"/>
      <c r="C36" s="5"/>
      <c r="D36" s="5"/>
      <c r="E36" s="5"/>
      <c r="F36" s="11"/>
      <c r="G36" s="11"/>
      <c r="H36" s="11"/>
      <c r="I36" s="11"/>
      <c r="J36" s="11"/>
      <c r="K36" s="11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customHeight="1" spans="1:28">
      <c r="A37" s="5"/>
      <c r="B37" s="5"/>
      <c r="C37" s="5"/>
      <c r="D37" s="5"/>
      <c r="E37" s="5"/>
      <c r="F37" s="11"/>
      <c r="G37" s="11"/>
      <c r="H37" s="11"/>
      <c r="I37" s="11"/>
      <c r="J37" s="11"/>
      <c r="K37" s="11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customHeight="1" spans="1:28">
      <c r="A38" s="5"/>
      <c r="B38" s="5"/>
      <c r="C38" s="5"/>
      <c r="D38" s="42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customHeight="1" spans="1:28">
      <c r="A39" s="5"/>
      <c r="B39" s="5"/>
      <c r="C39" s="5"/>
      <c r="D39" s="42"/>
      <c r="E39" s="5"/>
      <c r="F39" s="7" t="s">
        <v>58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customHeight="1" spans="1:28">
      <c r="A40" s="5"/>
      <c r="B40" s="5"/>
      <c r="C40" s="5"/>
      <c r="D40" s="13">
        <v>0.35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customHeight="1" spans="1:28">
      <c r="A41" s="5"/>
      <c r="B41" s="5"/>
      <c r="C41" s="5"/>
      <c r="D41" s="13">
        <v>0.1</v>
      </c>
      <c r="E41" s="14" t="s">
        <v>42</v>
      </c>
      <c r="F41" s="3" t="s">
        <v>10</v>
      </c>
      <c r="G41" s="6" t="s">
        <v>66</v>
      </c>
      <c r="H41" s="6" t="s">
        <v>67</v>
      </c>
      <c r="I41" s="6" t="s">
        <v>23</v>
      </c>
      <c r="J41" s="6" t="s">
        <v>24</v>
      </c>
      <c r="K41" s="8" t="s">
        <v>33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customHeight="1" spans="1:28">
      <c r="A42" s="14"/>
      <c r="B42" s="14"/>
      <c r="C42" s="14">
        <v>100000</v>
      </c>
      <c r="D42" s="13">
        <v>0.3</v>
      </c>
      <c r="E42" s="14" t="s">
        <v>10</v>
      </c>
      <c r="F42" s="4" t="s">
        <v>3</v>
      </c>
      <c r="G42" s="15">
        <v>45000</v>
      </c>
      <c r="H42" s="15">
        <v>0</v>
      </c>
      <c r="I42" s="15">
        <f>C42*D42</f>
        <v>30000</v>
      </c>
      <c r="J42" s="15">
        <f>C42*D43</f>
        <v>25000</v>
      </c>
      <c r="K42" s="20">
        <f t="shared" ref="K42:K46" si="18">SUM(G42:J42)</f>
        <v>100000</v>
      </c>
      <c r="L42" s="14">
        <f>K46/K42</f>
        <v>6.35840524668195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customHeight="1" spans="1:28">
      <c r="A43" s="5"/>
      <c r="B43" s="5"/>
      <c r="C43" s="5"/>
      <c r="D43" s="13">
        <v>0.25</v>
      </c>
      <c r="E43" s="5"/>
      <c r="F43" s="4" t="s">
        <v>37</v>
      </c>
      <c r="G43" s="15">
        <f t="shared" ref="G43:J43" si="19">G42/G12</f>
        <v>52325.5813953488</v>
      </c>
      <c r="H43" s="15">
        <f t="shared" si="19"/>
        <v>0</v>
      </c>
      <c r="I43" s="15">
        <f t="shared" si="19"/>
        <v>31578.9473684211</v>
      </c>
      <c r="J43" s="15">
        <f t="shared" si="19"/>
        <v>29411.7647058824</v>
      </c>
      <c r="K43" s="20">
        <f t="shared" si="18"/>
        <v>113316.293469652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customHeight="1" spans="1:28">
      <c r="A44" s="5"/>
      <c r="B44" s="5"/>
      <c r="C44" s="5"/>
      <c r="D44" s="5"/>
      <c r="E44" s="5"/>
      <c r="F44" s="4" t="s">
        <v>38</v>
      </c>
      <c r="G44" s="15">
        <f t="shared" ref="G44:J44" si="20">G43/G11</f>
        <v>70834.6844393514</v>
      </c>
      <c r="H44" s="15">
        <f t="shared" si="20"/>
        <v>0</v>
      </c>
      <c r="I44" s="15">
        <f t="shared" si="20"/>
        <v>35525.8717160772</v>
      </c>
      <c r="J44" s="15">
        <f t="shared" si="20"/>
        <v>29411.7647058824</v>
      </c>
      <c r="K44" s="20">
        <f t="shared" si="18"/>
        <v>135772.320861311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customHeight="1" spans="1:28">
      <c r="A45" s="5"/>
      <c r="B45" s="5"/>
      <c r="C45" s="5"/>
      <c r="D45" s="5"/>
      <c r="E45" s="5"/>
      <c r="F45" s="4" t="s">
        <v>39</v>
      </c>
      <c r="G45" s="15">
        <f t="shared" ref="G45:J45" si="21">G44/G10</f>
        <v>183986.193348965</v>
      </c>
      <c r="H45" s="15">
        <f t="shared" si="21"/>
        <v>0</v>
      </c>
      <c r="I45" s="15">
        <f t="shared" si="21"/>
        <v>50751.2453086818</v>
      </c>
      <c r="J45" s="15">
        <f t="shared" si="21"/>
        <v>49019.6078431373</v>
      </c>
      <c r="K45" s="20">
        <f t="shared" si="18"/>
        <v>283757.046500784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customHeight="1" spans="1:28">
      <c r="A46" s="5"/>
      <c r="B46" s="5"/>
      <c r="C46" s="5"/>
      <c r="D46" s="5"/>
      <c r="E46" s="5"/>
      <c r="F46" s="4" t="s">
        <v>40</v>
      </c>
      <c r="G46" s="15">
        <f t="shared" ref="G46:J46" si="22">G45/G9</f>
        <v>525674.838139899</v>
      </c>
      <c r="H46" s="15">
        <f t="shared" si="22"/>
        <v>0</v>
      </c>
      <c r="I46" s="15">
        <f t="shared" si="22"/>
        <v>61146.0786851588</v>
      </c>
      <c r="J46" s="15">
        <f t="shared" si="22"/>
        <v>49019.6078431373</v>
      </c>
      <c r="K46" s="20">
        <f t="shared" si="18"/>
        <v>635840.524668195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customHeight="1" spans="1:2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customHeight="1" spans="1:2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customHeight="1" spans="1:28">
      <c r="A49" s="5"/>
      <c r="B49" s="5"/>
      <c r="C49" s="5"/>
      <c r="D49" s="5"/>
      <c r="E49" s="14" t="s">
        <v>36</v>
      </c>
      <c r="F49" s="3" t="s">
        <v>10</v>
      </c>
      <c r="G49" s="6" t="s">
        <v>66</v>
      </c>
      <c r="H49" s="6" t="s">
        <v>67</v>
      </c>
      <c r="I49" s="6" t="s">
        <v>23</v>
      </c>
      <c r="J49" s="6" t="s">
        <v>24</v>
      </c>
      <c r="K49" s="8" t="s">
        <v>33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customHeight="1" spans="1:28">
      <c r="A50" s="5"/>
      <c r="B50" s="5"/>
      <c r="C50" s="5"/>
      <c r="D50" s="5"/>
      <c r="E50" s="14" t="s">
        <v>10</v>
      </c>
      <c r="F50" s="4" t="s">
        <v>3</v>
      </c>
      <c r="G50" s="18">
        <f t="shared" ref="G50:J50" si="23">G42/G18</f>
        <v>1.8</v>
      </c>
      <c r="H50" s="18">
        <f t="shared" si="23"/>
        <v>0</v>
      </c>
      <c r="I50" s="18">
        <f t="shared" si="23"/>
        <v>1.66666666666667</v>
      </c>
      <c r="J50" s="18">
        <f t="shared" si="23"/>
        <v>3.125</v>
      </c>
      <c r="K50" s="22">
        <f t="shared" ref="K50:K55" si="24">SUM(G50:J50)</f>
        <v>6.59166666666667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customHeight="1" spans="1:28">
      <c r="A51" s="5"/>
      <c r="B51" s="5"/>
      <c r="C51" s="5"/>
      <c r="D51" s="5"/>
      <c r="E51" s="5"/>
      <c r="F51" s="4" t="s">
        <v>37</v>
      </c>
      <c r="G51" s="18">
        <f t="shared" ref="G51:J51" si="25">G43/G18</f>
        <v>2.09302325581395</v>
      </c>
      <c r="H51" s="18">
        <f t="shared" si="25"/>
        <v>0</v>
      </c>
      <c r="I51" s="18">
        <f t="shared" si="25"/>
        <v>1.75438596491228</v>
      </c>
      <c r="J51" s="18">
        <f t="shared" si="25"/>
        <v>3.67647058823529</v>
      </c>
      <c r="K51" s="22">
        <f t="shared" si="24"/>
        <v>7.52387980896153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customHeight="1" spans="1:28">
      <c r="A52" s="5"/>
      <c r="B52" s="5"/>
      <c r="C52" s="5"/>
      <c r="D52" s="5"/>
      <c r="E52" s="5"/>
      <c r="F52" s="4" t="s">
        <v>38</v>
      </c>
      <c r="G52" s="18">
        <f t="shared" ref="G52:J52" si="26">G44/G18</f>
        <v>2.83338737757405</v>
      </c>
      <c r="H52" s="18">
        <f t="shared" si="26"/>
        <v>0</v>
      </c>
      <c r="I52" s="18">
        <f t="shared" si="26"/>
        <v>1.97365953978207</v>
      </c>
      <c r="J52" s="18">
        <f t="shared" si="26"/>
        <v>3.67647058823529</v>
      </c>
      <c r="K52" s="22">
        <f t="shared" si="24"/>
        <v>8.48351750559142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customHeight="1" spans="1:28">
      <c r="A53" s="5"/>
      <c r="B53" s="5"/>
      <c r="C53" s="5"/>
      <c r="D53" s="5"/>
      <c r="E53" s="5"/>
      <c r="F53" s="4" t="s">
        <v>39</v>
      </c>
      <c r="G53" s="18">
        <f t="shared" ref="G53:J53" si="27">G45/G18</f>
        <v>7.35944773395858</v>
      </c>
      <c r="H53" s="18">
        <f t="shared" si="27"/>
        <v>0</v>
      </c>
      <c r="I53" s="18">
        <f t="shared" si="27"/>
        <v>2.8195136282601</v>
      </c>
      <c r="J53" s="18">
        <f t="shared" si="27"/>
        <v>6.12745098039216</v>
      </c>
      <c r="K53" s="22">
        <f t="shared" si="24"/>
        <v>16.3064123426108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customHeight="1" spans="1:28">
      <c r="A54" s="5"/>
      <c r="B54" s="5"/>
      <c r="C54" s="5"/>
      <c r="D54" s="5"/>
      <c r="E54" s="5"/>
      <c r="F54" s="4" t="s">
        <v>40</v>
      </c>
      <c r="G54" s="18">
        <f t="shared" ref="G54:J54" si="28">G46/G18</f>
        <v>21.0269935255959</v>
      </c>
      <c r="H54" s="18">
        <f t="shared" si="28"/>
        <v>0</v>
      </c>
      <c r="I54" s="18">
        <f t="shared" si="28"/>
        <v>3.39700437139771</v>
      </c>
      <c r="J54" s="18">
        <f t="shared" si="28"/>
        <v>6.12745098039216</v>
      </c>
      <c r="K54" s="22">
        <f t="shared" si="24"/>
        <v>30.5514488773858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customHeight="1" spans="1:28">
      <c r="A55" s="5"/>
      <c r="B55" s="5"/>
      <c r="C55" s="5"/>
      <c r="D55" s="5"/>
      <c r="E55" s="5"/>
      <c r="F55" s="4" t="s">
        <v>41</v>
      </c>
      <c r="G55" s="18">
        <f t="shared" ref="G55:J55" si="29">G54/G8</f>
        <v>42.9122316848897</v>
      </c>
      <c r="H55" s="18">
        <f t="shared" si="29"/>
        <v>0</v>
      </c>
      <c r="I55" s="18">
        <f t="shared" si="29"/>
        <v>3.77444930155301</v>
      </c>
      <c r="J55" s="18">
        <f t="shared" si="29"/>
        <v>8.16993464052288</v>
      </c>
      <c r="K55" s="22">
        <f t="shared" si="24"/>
        <v>54.8566156269656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customHeight="1" spans="1:28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customHeight="1" spans="1:28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customHeight="1" spans="1:2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customHeight="1" spans="1:28">
      <c r="A59" s="5"/>
      <c r="B59" s="5"/>
      <c r="C59" s="5"/>
      <c r="D59" s="5"/>
      <c r="E59" s="14" t="s">
        <v>42</v>
      </c>
      <c r="F59" s="3" t="s">
        <v>11</v>
      </c>
      <c r="G59" s="6" t="s">
        <v>66</v>
      </c>
      <c r="H59" s="6" t="s">
        <v>67</v>
      </c>
      <c r="I59" s="6" t="s">
        <v>23</v>
      </c>
      <c r="J59" s="6" t="s">
        <v>24</v>
      </c>
      <c r="K59" s="8" t="s">
        <v>33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customHeight="1" spans="1:28">
      <c r="A60" s="5"/>
      <c r="B60" s="5"/>
      <c r="C60" s="5"/>
      <c r="D60" s="5"/>
      <c r="E60" s="5"/>
      <c r="F60" s="4" t="s">
        <v>3</v>
      </c>
      <c r="G60" s="15">
        <v>56250</v>
      </c>
      <c r="H60" s="15">
        <v>0</v>
      </c>
      <c r="I60" s="15">
        <f>H4*D42</f>
        <v>37500</v>
      </c>
      <c r="J60" s="15">
        <f>H4*D43</f>
        <v>31250</v>
      </c>
      <c r="K60" s="20">
        <f t="shared" ref="K60:K64" si="30">SUM(G60:J60)</f>
        <v>125000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customHeight="1" spans="1:28">
      <c r="A61" s="5"/>
      <c r="B61" s="5"/>
      <c r="C61" s="5"/>
      <c r="D61" s="5"/>
      <c r="E61" s="5"/>
      <c r="F61" s="4" t="s">
        <v>37</v>
      </c>
      <c r="G61" s="15">
        <f t="shared" ref="G61:J61" si="31">G60/G12</f>
        <v>65406.976744186</v>
      </c>
      <c r="H61" s="15">
        <f t="shared" si="31"/>
        <v>0</v>
      </c>
      <c r="I61" s="15">
        <f t="shared" si="31"/>
        <v>39473.6842105263</v>
      </c>
      <c r="J61" s="15">
        <f t="shared" si="31"/>
        <v>36764.7058823529</v>
      </c>
      <c r="K61" s="20">
        <f t="shared" si="30"/>
        <v>141645.366837065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customHeight="1" spans="1:28">
      <c r="A62" s="5"/>
      <c r="B62" s="5"/>
      <c r="C62" s="5"/>
      <c r="D62" s="5"/>
      <c r="E62" s="5"/>
      <c r="F62" s="4" t="s">
        <v>38</v>
      </c>
      <c r="G62" s="15">
        <f t="shared" ref="G62:J62" si="32">G61/G11</f>
        <v>88543.3555491892</v>
      </c>
      <c r="H62" s="15">
        <f t="shared" si="32"/>
        <v>0</v>
      </c>
      <c r="I62" s="15">
        <f t="shared" si="32"/>
        <v>44407.3396450965</v>
      </c>
      <c r="J62" s="15">
        <f t="shared" si="32"/>
        <v>36764.7058823529</v>
      </c>
      <c r="K62" s="20">
        <f t="shared" si="30"/>
        <v>169715.401076639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customHeight="1" spans="1:28">
      <c r="A63" s="5"/>
      <c r="B63" s="5"/>
      <c r="C63" s="5"/>
      <c r="D63" s="5"/>
      <c r="E63" s="5"/>
      <c r="F63" s="4" t="s">
        <v>39</v>
      </c>
      <c r="G63" s="15">
        <f t="shared" ref="G63:J63" si="33">G62/G10</f>
        <v>229982.741686206</v>
      </c>
      <c r="H63" s="15">
        <f t="shared" si="33"/>
        <v>0</v>
      </c>
      <c r="I63" s="15">
        <f t="shared" si="33"/>
        <v>63439.0566358522</v>
      </c>
      <c r="J63" s="15">
        <f t="shared" si="33"/>
        <v>61274.5098039216</v>
      </c>
      <c r="K63" s="20">
        <f t="shared" si="30"/>
        <v>354696.308125979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customHeight="1" spans="1:28">
      <c r="A64" s="5"/>
      <c r="B64" s="5"/>
      <c r="C64" s="5"/>
      <c r="D64" s="5"/>
      <c r="E64" s="5"/>
      <c r="F64" s="4" t="s">
        <v>40</v>
      </c>
      <c r="G64" s="15">
        <f t="shared" ref="G64:J64" si="34">G63/G9</f>
        <v>657093.547674873</v>
      </c>
      <c r="H64" s="15">
        <f t="shared" si="34"/>
        <v>0</v>
      </c>
      <c r="I64" s="15">
        <f t="shared" si="34"/>
        <v>76432.5983564484</v>
      </c>
      <c r="J64" s="15">
        <f t="shared" si="34"/>
        <v>61274.5098039216</v>
      </c>
      <c r="K64" s="20">
        <f t="shared" si="30"/>
        <v>794800.655835243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customHeight="1" spans="1:28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customHeight="1" spans="1:28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customHeight="1" spans="1:28">
      <c r="A67" s="5"/>
      <c r="B67" s="5"/>
      <c r="C67" s="5"/>
      <c r="D67" s="5"/>
      <c r="E67" s="14" t="s">
        <v>36</v>
      </c>
      <c r="F67" s="3" t="s">
        <v>11</v>
      </c>
      <c r="G67" s="6" t="s">
        <v>66</v>
      </c>
      <c r="H67" s="6" t="s">
        <v>67</v>
      </c>
      <c r="I67" s="6" t="s">
        <v>23</v>
      </c>
      <c r="J67" s="6" t="s">
        <v>24</v>
      </c>
      <c r="K67" s="8" t="s">
        <v>33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customHeight="1" spans="1:28">
      <c r="A68" s="5"/>
      <c r="B68" s="5"/>
      <c r="C68" s="5"/>
      <c r="D68" s="5"/>
      <c r="E68" s="5"/>
      <c r="F68" s="4" t="s">
        <v>3</v>
      </c>
      <c r="G68" s="18">
        <f t="shared" ref="G68:G72" si="35">G60/$G$18</f>
        <v>2.25</v>
      </c>
      <c r="H68" s="18">
        <f t="shared" ref="H68:H72" si="36">H60/$H$18</f>
        <v>0</v>
      </c>
      <c r="I68" s="18">
        <f t="shared" ref="I68:I72" si="37">I60/$I$18</f>
        <v>2.08333333333333</v>
      </c>
      <c r="J68" s="18">
        <f t="shared" ref="J68:J72" si="38">J60/$J$18</f>
        <v>3.90625</v>
      </c>
      <c r="K68" s="22">
        <f t="shared" ref="K68:K73" si="39">SUM(G68:J68)</f>
        <v>8.23958333333333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customHeight="1" spans="1:28">
      <c r="A69" s="5"/>
      <c r="B69" s="5"/>
      <c r="C69" s="5"/>
      <c r="D69" s="5"/>
      <c r="E69" s="5"/>
      <c r="F69" s="4" t="s">
        <v>37</v>
      </c>
      <c r="G69" s="18">
        <f t="shared" si="35"/>
        <v>2.61627906976744</v>
      </c>
      <c r="H69" s="18">
        <f t="shared" si="36"/>
        <v>0</v>
      </c>
      <c r="I69" s="18">
        <f t="shared" si="37"/>
        <v>2.19298245614035</v>
      </c>
      <c r="J69" s="18">
        <f t="shared" si="38"/>
        <v>4.59558823529412</v>
      </c>
      <c r="K69" s="22">
        <f t="shared" si="39"/>
        <v>9.40484976120191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customHeight="1" spans="1:28">
      <c r="A70" s="5"/>
      <c r="B70" s="5"/>
      <c r="C70" s="5"/>
      <c r="D70" s="5"/>
      <c r="E70" s="5"/>
      <c r="F70" s="4" t="s">
        <v>38</v>
      </c>
      <c r="G70" s="18">
        <f t="shared" si="35"/>
        <v>3.54173422196757</v>
      </c>
      <c r="H70" s="18">
        <f t="shared" si="36"/>
        <v>0</v>
      </c>
      <c r="I70" s="18">
        <f t="shared" si="37"/>
        <v>2.46707442472759</v>
      </c>
      <c r="J70" s="18">
        <f t="shared" si="38"/>
        <v>4.59558823529412</v>
      </c>
      <c r="K70" s="22">
        <f t="shared" si="39"/>
        <v>10.6043968819893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customHeight="1" spans="1:28">
      <c r="A71" s="5"/>
      <c r="B71" s="5"/>
      <c r="C71" s="5"/>
      <c r="D71" s="5"/>
      <c r="E71" s="5"/>
      <c r="F71" s="4" t="s">
        <v>39</v>
      </c>
      <c r="G71" s="18">
        <f t="shared" si="35"/>
        <v>9.19930966744823</v>
      </c>
      <c r="H71" s="18">
        <f t="shared" si="36"/>
        <v>0</v>
      </c>
      <c r="I71" s="18">
        <f t="shared" si="37"/>
        <v>3.52439203532512</v>
      </c>
      <c r="J71" s="18">
        <f t="shared" si="38"/>
        <v>7.6593137254902</v>
      </c>
      <c r="K71" s="22">
        <f t="shared" si="39"/>
        <v>20.3830154282635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customHeight="1" spans="1:28">
      <c r="A72" s="5"/>
      <c r="B72" s="5"/>
      <c r="C72" s="5"/>
      <c r="D72" s="5"/>
      <c r="E72" s="5"/>
      <c r="F72" s="4" t="s">
        <v>40</v>
      </c>
      <c r="G72" s="18">
        <f t="shared" si="35"/>
        <v>26.2837419069949</v>
      </c>
      <c r="H72" s="18">
        <f t="shared" si="36"/>
        <v>0</v>
      </c>
      <c r="I72" s="18">
        <f t="shared" si="37"/>
        <v>4.24625546424714</v>
      </c>
      <c r="J72" s="18">
        <f t="shared" si="38"/>
        <v>7.6593137254902</v>
      </c>
      <c r="K72" s="22">
        <f t="shared" si="39"/>
        <v>38.1893110967323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customHeight="1" spans="1:28">
      <c r="A73" s="5"/>
      <c r="B73" s="5"/>
      <c r="C73" s="5"/>
      <c r="D73" s="5"/>
      <c r="E73" s="5"/>
      <c r="F73" s="4" t="s">
        <v>41</v>
      </c>
      <c r="G73" s="18">
        <f t="shared" ref="G73:J73" si="40">G72/G8</f>
        <v>53.6402896061121</v>
      </c>
      <c r="H73" s="18">
        <f t="shared" si="40"/>
        <v>0</v>
      </c>
      <c r="I73" s="18">
        <f t="shared" si="40"/>
        <v>4.71806162694126</v>
      </c>
      <c r="J73" s="18">
        <f t="shared" si="40"/>
        <v>10.2124183006536</v>
      </c>
      <c r="K73" s="22">
        <f t="shared" si="39"/>
        <v>68.570769533707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customHeight="1" spans="1:28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customHeight="1" spans="1:28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customHeight="1" spans="1:28">
      <c r="A76" s="5"/>
      <c r="B76" s="5"/>
      <c r="C76" s="5"/>
      <c r="D76" s="5"/>
      <c r="E76" s="14" t="s">
        <v>42</v>
      </c>
      <c r="F76" s="3" t="s">
        <v>12</v>
      </c>
      <c r="G76" s="6" t="s">
        <v>66</v>
      </c>
      <c r="H76" s="6" t="s">
        <v>67</v>
      </c>
      <c r="I76" s="6" t="s">
        <v>23</v>
      </c>
      <c r="J76" s="6" t="s">
        <v>24</v>
      </c>
      <c r="K76" s="8" t="s">
        <v>33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customHeight="1" spans="1:28">
      <c r="A77" s="5"/>
      <c r="B77" s="5"/>
      <c r="C77" s="5"/>
      <c r="D77" s="5"/>
      <c r="E77" s="5"/>
      <c r="F77" s="4" t="s">
        <v>3</v>
      </c>
      <c r="G77" s="15">
        <v>56250</v>
      </c>
      <c r="H77" s="15">
        <v>0</v>
      </c>
      <c r="I77" s="15">
        <f>I4*D42</f>
        <v>37500</v>
      </c>
      <c r="J77" s="15">
        <f>I4*D43</f>
        <v>31250</v>
      </c>
      <c r="K77" s="20">
        <f t="shared" ref="K77:K81" si="41">SUM(G77:J77)</f>
        <v>125000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customHeight="1" spans="1:28">
      <c r="A78" s="5"/>
      <c r="B78" s="5"/>
      <c r="C78" s="5"/>
      <c r="D78" s="5"/>
      <c r="E78" s="5"/>
      <c r="F78" s="4" t="s">
        <v>37</v>
      </c>
      <c r="G78" s="15">
        <f t="shared" ref="G78:J78" si="42">G77/G12</f>
        <v>65406.976744186</v>
      </c>
      <c r="H78" s="15">
        <f t="shared" si="42"/>
        <v>0</v>
      </c>
      <c r="I78" s="15">
        <f t="shared" si="42"/>
        <v>39473.6842105263</v>
      </c>
      <c r="J78" s="15">
        <f t="shared" si="42"/>
        <v>36764.7058823529</v>
      </c>
      <c r="K78" s="20">
        <f t="shared" si="41"/>
        <v>141645.366837065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customHeight="1" spans="1:28">
      <c r="A79" s="5"/>
      <c r="B79" s="5"/>
      <c r="C79" s="5"/>
      <c r="D79" s="5"/>
      <c r="E79" s="5"/>
      <c r="F79" s="4" t="s">
        <v>38</v>
      </c>
      <c r="G79" s="15">
        <f t="shared" ref="G79:J79" si="43">G78/G11</f>
        <v>88543.3555491892</v>
      </c>
      <c r="H79" s="15">
        <f t="shared" si="43"/>
        <v>0</v>
      </c>
      <c r="I79" s="15">
        <f t="shared" si="43"/>
        <v>44407.3396450965</v>
      </c>
      <c r="J79" s="15">
        <f t="shared" si="43"/>
        <v>36764.7058823529</v>
      </c>
      <c r="K79" s="20">
        <f t="shared" si="41"/>
        <v>169715.401076639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customHeight="1" spans="1:28">
      <c r="A80" s="5"/>
      <c r="B80" s="5"/>
      <c r="C80" s="5"/>
      <c r="D80" s="5"/>
      <c r="E80" s="5"/>
      <c r="F80" s="4" t="s">
        <v>39</v>
      </c>
      <c r="G80" s="15">
        <f t="shared" ref="G80:J80" si="44">G79/G10</f>
        <v>229982.741686206</v>
      </c>
      <c r="H80" s="15">
        <f t="shared" si="44"/>
        <v>0</v>
      </c>
      <c r="I80" s="15">
        <f t="shared" si="44"/>
        <v>63439.0566358522</v>
      </c>
      <c r="J80" s="15">
        <f t="shared" si="44"/>
        <v>61274.5098039216</v>
      </c>
      <c r="K80" s="20">
        <f t="shared" si="41"/>
        <v>354696.308125979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customHeight="1" spans="1:28">
      <c r="A81" s="5"/>
      <c r="B81" s="5"/>
      <c r="C81" s="5"/>
      <c r="D81" s="5"/>
      <c r="E81" s="5"/>
      <c r="F81" s="4" t="s">
        <v>40</v>
      </c>
      <c r="G81" s="15">
        <f t="shared" ref="G81:J81" si="45">G80/G9</f>
        <v>657093.547674873</v>
      </c>
      <c r="H81" s="15">
        <f t="shared" si="45"/>
        <v>0</v>
      </c>
      <c r="I81" s="15">
        <f t="shared" si="45"/>
        <v>76432.5983564484</v>
      </c>
      <c r="J81" s="15">
        <f t="shared" si="45"/>
        <v>61274.5098039216</v>
      </c>
      <c r="K81" s="20">
        <f t="shared" si="41"/>
        <v>794800.655835243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customHeight="1" spans="1:28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customHeight="1" spans="1:28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customHeight="1" spans="1:28">
      <c r="A84" s="5"/>
      <c r="B84" s="5"/>
      <c r="C84" s="5"/>
      <c r="D84" s="5"/>
      <c r="E84" s="14" t="s">
        <v>36</v>
      </c>
      <c r="F84" s="3" t="s">
        <v>12</v>
      </c>
      <c r="G84" s="6" t="s">
        <v>66</v>
      </c>
      <c r="H84" s="6" t="s">
        <v>67</v>
      </c>
      <c r="I84" s="6" t="s">
        <v>23</v>
      </c>
      <c r="J84" s="6" t="s">
        <v>24</v>
      </c>
      <c r="K84" s="8" t="s">
        <v>33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customHeight="1" spans="1:28">
      <c r="A85" s="5"/>
      <c r="B85" s="5"/>
      <c r="C85" s="5"/>
      <c r="D85" s="5"/>
      <c r="E85" s="5"/>
      <c r="F85" s="4" t="s">
        <v>3</v>
      </c>
      <c r="G85" s="18">
        <f t="shared" ref="G85:G89" si="46">G77/$G$18</f>
        <v>2.25</v>
      </c>
      <c r="H85" s="18">
        <f t="shared" ref="H85:H89" si="47">H77/$H$18</f>
        <v>0</v>
      </c>
      <c r="I85" s="18">
        <f t="shared" ref="I85:I89" si="48">I77/$I$18</f>
        <v>2.08333333333333</v>
      </c>
      <c r="J85" s="18">
        <f t="shared" ref="J85:J89" si="49">J77/$J$18</f>
        <v>3.90625</v>
      </c>
      <c r="K85" s="22">
        <f t="shared" ref="K85:K90" si="50">SUM(G85:J85)</f>
        <v>8.23958333333333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customHeight="1" spans="1:28">
      <c r="A86" s="5"/>
      <c r="B86" s="5"/>
      <c r="C86" s="5"/>
      <c r="D86" s="5"/>
      <c r="E86" s="5"/>
      <c r="F86" s="4" t="s">
        <v>37</v>
      </c>
      <c r="G86" s="18">
        <f t="shared" si="46"/>
        <v>2.61627906976744</v>
      </c>
      <c r="H86" s="18">
        <f t="shared" si="47"/>
        <v>0</v>
      </c>
      <c r="I86" s="18">
        <f t="shared" si="48"/>
        <v>2.19298245614035</v>
      </c>
      <c r="J86" s="18">
        <f t="shared" si="49"/>
        <v>4.59558823529412</v>
      </c>
      <c r="K86" s="22">
        <f t="shared" si="50"/>
        <v>9.40484976120191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customHeight="1" spans="1:28">
      <c r="A87" s="5"/>
      <c r="B87" s="5"/>
      <c r="C87" s="5"/>
      <c r="D87" s="5"/>
      <c r="E87" s="5"/>
      <c r="F87" s="4" t="s">
        <v>38</v>
      </c>
      <c r="G87" s="18">
        <f t="shared" si="46"/>
        <v>3.54173422196757</v>
      </c>
      <c r="H87" s="18">
        <f t="shared" si="47"/>
        <v>0</v>
      </c>
      <c r="I87" s="18">
        <f t="shared" si="48"/>
        <v>2.46707442472759</v>
      </c>
      <c r="J87" s="18">
        <f t="shared" si="49"/>
        <v>4.59558823529412</v>
      </c>
      <c r="K87" s="22">
        <f t="shared" si="50"/>
        <v>10.6043968819893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customHeight="1" spans="1:28">
      <c r="A88" s="5"/>
      <c r="B88" s="5"/>
      <c r="C88" s="5"/>
      <c r="D88" s="5"/>
      <c r="E88" s="5"/>
      <c r="F88" s="4" t="s">
        <v>39</v>
      </c>
      <c r="G88" s="18">
        <f t="shared" si="46"/>
        <v>9.19930966744823</v>
      </c>
      <c r="H88" s="18">
        <f t="shared" si="47"/>
        <v>0</v>
      </c>
      <c r="I88" s="18">
        <f t="shared" si="48"/>
        <v>3.52439203532512</v>
      </c>
      <c r="J88" s="18">
        <f t="shared" si="49"/>
        <v>7.6593137254902</v>
      </c>
      <c r="K88" s="22">
        <f t="shared" si="50"/>
        <v>20.3830154282635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customHeight="1" spans="1:28">
      <c r="A89" s="5"/>
      <c r="B89" s="5"/>
      <c r="C89" s="5"/>
      <c r="D89" s="5"/>
      <c r="E89" s="5"/>
      <c r="F89" s="4" t="s">
        <v>40</v>
      </c>
      <c r="G89" s="18">
        <f t="shared" si="46"/>
        <v>26.2837419069949</v>
      </c>
      <c r="H89" s="18">
        <f t="shared" si="47"/>
        <v>0</v>
      </c>
      <c r="I89" s="18">
        <f t="shared" si="48"/>
        <v>4.24625546424714</v>
      </c>
      <c r="J89" s="18">
        <f t="shared" si="49"/>
        <v>7.6593137254902</v>
      </c>
      <c r="K89" s="22">
        <f t="shared" si="50"/>
        <v>38.1893110967323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customHeight="1" spans="1:28">
      <c r="A90" s="5"/>
      <c r="B90" s="5"/>
      <c r="C90" s="5"/>
      <c r="D90" s="5"/>
      <c r="E90" s="5"/>
      <c r="F90" s="4" t="s">
        <v>41</v>
      </c>
      <c r="G90" s="18">
        <f t="shared" ref="G90:J90" si="51">G89/G8</f>
        <v>53.6402896061121</v>
      </c>
      <c r="H90" s="18">
        <f t="shared" si="51"/>
        <v>0</v>
      </c>
      <c r="I90" s="18">
        <f t="shared" si="51"/>
        <v>4.71806162694126</v>
      </c>
      <c r="J90" s="18">
        <f t="shared" si="51"/>
        <v>10.2124183006536</v>
      </c>
      <c r="K90" s="22">
        <f t="shared" si="50"/>
        <v>68.570769533707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customHeight="1" spans="1:28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customHeight="1" spans="1:28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customHeight="1" spans="1:28">
      <c r="A93" s="5"/>
      <c r="B93" s="5"/>
      <c r="C93" s="5"/>
      <c r="D93" s="5"/>
      <c r="E93" s="14" t="s">
        <v>42</v>
      </c>
      <c r="F93" s="3" t="s">
        <v>13</v>
      </c>
      <c r="G93" s="6" t="s">
        <v>66</v>
      </c>
      <c r="H93" s="6" t="s">
        <v>67</v>
      </c>
      <c r="I93" s="6" t="s">
        <v>23</v>
      </c>
      <c r="J93" s="6" t="s">
        <v>24</v>
      </c>
      <c r="K93" s="8" t="s">
        <v>33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customHeight="1" spans="1:28">
      <c r="A94" s="5"/>
      <c r="B94" s="5"/>
      <c r="C94" s="5"/>
      <c r="D94" s="5"/>
      <c r="E94" s="5"/>
      <c r="F94" s="4" t="s">
        <v>3</v>
      </c>
      <c r="G94" s="15">
        <v>67500</v>
      </c>
      <c r="H94" s="15">
        <v>0</v>
      </c>
      <c r="I94" s="15">
        <f>J4*D42</f>
        <v>45000</v>
      </c>
      <c r="J94" s="15">
        <f>J4*D43</f>
        <v>37500</v>
      </c>
      <c r="K94" s="20">
        <f t="shared" ref="K94:K98" si="52">SUM(G94:J94)</f>
        <v>150000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customHeight="1" spans="1:28">
      <c r="A95" s="5"/>
      <c r="B95" s="5"/>
      <c r="C95" s="5"/>
      <c r="D95" s="5"/>
      <c r="E95" s="5"/>
      <c r="F95" s="4" t="s">
        <v>37</v>
      </c>
      <c r="G95" s="15">
        <f t="shared" ref="G95:J95" si="53">G94/G12</f>
        <v>78488.3720930233</v>
      </c>
      <c r="H95" s="15">
        <f t="shared" si="53"/>
        <v>0</v>
      </c>
      <c r="I95" s="15">
        <f t="shared" si="53"/>
        <v>47368.4210526316</v>
      </c>
      <c r="J95" s="15">
        <f t="shared" si="53"/>
        <v>44117.6470588235</v>
      </c>
      <c r="K95" s="20">
        <f t="shared" si="52"/>
        <v>169974.440204478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customHeight="1" spans="1:28">
      <c r="A96" s="5"/>
      <c r="B96" s="5"/>
      <c r="C96" s="5"/>
      <c r="D96" s="5"/>
      <c r="E96" s="5"/>
      <c r="F96" s="4" t="s">
        <v>38</v>
      </c>
      <c r="G96" s="15">
        <f t="shared" ref="G96:J96" si="54">G95/G11</f>
        <v>106252.026659027</v>
      </c>
      <c r="H96" s="15">
        <f t="shared" si="54"/>
        <v>0</v>
      </c>
      <c r="I96" s="15">
        <f t="shared" si="54"/>
        <v>53288.8075741158</v>
      </c>
      <c r="J96" s="15">
        <f t="shared" si="54"/>
        <v>44117.6470588235</v>
      </c>
      <c r="K96" s="20">
        <f t="shared" si="52"/>
        <v>203658.481291966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customHeight="1" spans="1:28">
      <c r="A97" s="5"/>
      <c r="B97" s="5"/>
      <c r="C97" s="5"/>
      <c r="D97" s="5"/>
      <c r="E97" s="5"/>
      <c r="F97" s="4" t="s">
        <v>39</v>
      </c>
      <c r="G97" s="15">
        <f t="shared" ref="G97:J97" si="55">G96/G10</f>
        <v>275979.290023447</v>
      </c>
      <c r="H97" s="15">
        <f t="shared" si="55"/>
        <v>0</v>
      </c>
      <c r="I97" s="15">
        <f t="shared" si="55"/>
        <v>76126.8679630226</v>
      </c>
      <c r="J97" s="15">
        <f t="shared" si="55"/>
        <v>73529.4117647059</v>
      </c>
      <c r="K97" s="20">
        <f t="shared" si="52"/>
        <v>425635.569751175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customHeight="1" spans="1:28">
      <c r="A98" s="5"/>
      <c r="B98" s="5"/>
      <c r="C98" s="5"/>
      <c r="D98" s="5"/>
      <c r="E98" s="5"/>
      <c r="F98" s="4" t="s">
        <v>40</v>
      </c>
      <c r="G98" s="15">
        <f t="shared" ref="G98:J98" si="56">G97/G9</f>
        <v>788512.257209848</v>
      </c>
      <c r="H98" s="15">
        <f t="shared" si="56"/>
        <v>0</v>
      </c>
      <c r="I98" s="15">
        <f t="shared" si="56"/>
        <v>91719.1180277381</v>
      </c>
      <c r="J98" s="15">
        <f t="shared" si="56"/>
        <v>73529.4117647059</v>
      </c>
      <c r="K98" s="20">
        <f t="shared" si="52"/>
        <v>953760.787002292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customHeight="1" spans="1:28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customHeight="1" spans="1:28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customHeight="1" spans="1:28">
      <c r="A101" s="5"/>
      <c r="B101" s="5"/>
      <c r="C101" s="5"/>
      <c r="D101" s="5"/>
      <c r="E101" s="14" t="s">
        <v>36</v>
      </c>
      <c r="F101" s="3" t="s">
        <v>13</v>
      </c>
      <c r="G101" s="6" t="s">
        <v>66</v>
      </c>
      <c r="H101" s="6" t="s">
        <v>67</v>
      </c>
      <c r="I101" s="6" t="s">
        <v>23</v>
      </c>
      <c r="J101" s="6" t="s">
        <v>24</v>
      </c>
      <c r="K101" s="8" t="s">
        <v>33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customHeight="1" spans="1:28">
      <c r="A102" s="5"/>
      <c r="B102" s="5"/>
      <c r="C102" s="5"/>
      <c r="D102" s="5"/>
      <c r="E102" s="5"/>
      <c r="F102" s="4" t="s">
        <v>3</v>
      </c>
      <c r="G102" s="18">
        <f t="shared" ref="G102:G106" si="57">G94/$G$18</f>
        <v>2.7</v>
      </c>
      <c r="H102" s="18">
        <f t="shared" ref="H102:H106" si="58">H94/$H$18</f>
        <v>0</v>
      </c>
      <c r="I102" s="18">
        <f t="shared" ref="I102:I106" si="59">I94/$I$18</f>
        <v>2.5</v>
      </c>
      <c r="J102" s="18">
        <f t="shared" ref="J102:J106" si="60">J94/$J$18</f>
        <v>4.6875</v>
      </c>
      <c r="K102" s="22">
        <f t="shared" ref="K102:K107" si="61">SUM(G102:J102)</f>
        <v>9.8875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customHeight="1" spans="1:28">
      <c r="A103" s="5"/>
      <c r="B103" s="5"/>
      <c r="C103" s="5"/>
      <c r="D103" s="5"/>
      <c r="E103" s="5"/>
      <c r="F103" s="4" t="s">
        <v>37</v>
      </c>
      <c r="G103" s="18">
        <f t="shared" si="57"/>
        <v>3.13953488372093</v>
      </c>
      <c r="H103" s="18">
        <f t="shared" si="58"/>
        <v>0</v>
      </c>
      <c r="I103" s="18">
        <f t="shared" si="59"/>
        <v>2.63157894736842</v>
      </c>
      <c r="J103" s="18">
        <f t="shared" si="60"/>
        <v>5.51470588235294</v>
      </c>
      <c r="K103" s="22">
        <f t="shared" si="61"/>
        <v>11.2858197134423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customHeight="1" spans="1:28">
      <c r="A104" s="5"/>
      <c r="B104" s="5"/>
      <c r="C104" s="5"/>
      <c r="D104" s="5"/>
      <c r="E104" s="5"/>
      <c r="F104" s="4" t="s">
        <v>38</v>
      </c>
      <c r="G104" s="18">
        <f t="shared" si="57"/>
        <v>4.25008106636108</v>
      </c>
      <c r="H104" s="18">
        <f t="shared" si="58"/>
        <v>0</v>
      </c>
      <c r="I104" s="18">
        <f t="shared" si="59"/>
        <v>2.9604893096731</v>
      </c>
      <c r="J104" s="18">
        <f t="shared" si="60"/>
        <v>5.51470588235294</v>
      </c>
      <c r="K104" s="22">
        <f t="shared" si="61"/>
        <v>12.7252762583871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customHeight="1" spans="1:28">
      <c r="A105" s="5"/>
      <c r="B105" s="5"/>
      <c r="C105" s="5"/>
      <c r="D105" s="5"/>
      <c r="E105" s="5"/>
      <c r="F105" s="4" t="s">
        <v>39</v>
      </c>
      <c r="G105" s="18">
        <f t="shared" si="57"/>
        <v>11.0391716009379</v>
      </c>
      <c r="H105" s="18">
        <f t="shared" si="58"/>
        <v>0</v>
      </c>
      <c r="I105" s="18">
        <f t="shared" si="59"/>
        <v>4.22927044239015</v>
      </c>
      <c r="J105" s="18">
        <f t="shared" si="60"/>
        <v>9.19117647058824</v>
      </c>
      <c r="K105" s="22">
        <f t="shared" si="61"/>
        <v>24.4596185139163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customHeight="1" spans="1:28">
      <c r="A106" s="5"/>
      <c r="B106" s="5"/>
      <c r="C106" s="5"/>
      <c r="D106" s="5"/>
      <c r="E106" s="5"/>
      <c r="F106" s="4" t="s">
        <v>40</v>
      </c>
      <c r="G106" s="18">
        <f t="shared" si="57"/>
        <v>31.5404902883939</v>
      </c>
      <c r="H106" s="18">
        <f t="shared" si="58"/>
        <v>0</v>
      </c>
      <c r="I106" s="18">
        <f t="shared" si="59"/>
        <v>5.09550655709656</v>
      </c>
      <c r="J106" s="18">
        <f t="shared" si="60"/>
        <v>9.19117647058824</v>
      </c>
      <c r="K106" s="22">
        <f t="shared" si="61"/>
        <v>45.8271733160787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customHeight="1" spans="1:28">
      <c r="A107" s="5"/>
      <c r="B107" s="5"/>
      <c r="C107" s="5"/>
      <c r="D107" s="5"/>
      <c r="E107" s="5"/>
      <c r="F107" s="4" t="s">
        <v>41</v>
      </c>
      <c r="G107" s="18">
        <f t="shared" ref="G107:J107" si="62">G106/G8</f>
        <v>64.3683475273345</v>
      </c>
      <c r="H107" s="18">
        <f t="shared" si="62"/>
        <v>0</v>
      </c>
      <c r="I107" s="18">
        <f t="shared" si="62"/>
        <v>5.66167395232951</v>
      </c>
      <c r="J107" s="18">
        <f t="shared" si="62"/>
        <v>12.2549019607843</v>
      </c>
      <c r="K107" s="22">
        <f t="shared" si="61"/>
        <v>82.2849234404484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customHeight="1" spans="1:2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customHeight="1" spans="1:28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customHeight="1" spans="1:28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customHeight="1" spans="1:28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customHeight="1" spans="1:28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customHeight="1" spans="1:28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customHeight="1" spans="1:28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customHeight="1" spans="1:28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customHeight="1" spans="1:28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customHeight="1" spans="1:28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customHeight="1" spans="1:2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customHeight="1" spans="1:28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customHeight="1" spans="1:28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customHeight="1" spans="1:28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customHeight="1" spans="1:28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customHeight="1" spans="1:28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customHeight="1" spans="1:28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customHeight="1" spans="1:28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customHeight="1" spans="1:28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customHeight="1" spans="1:28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customHeight="1" spans="1: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customHeight="1" spans="1:28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customHeight="1" spans="1:28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customHeight="1" spans="1:28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customHeight="1" spans="1:28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customHeight="1" spans="1:28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customHeight="1" spans="1:28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customHeight="1" spans="1:28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customHeight="1" spans="1:28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customHeight="1" spans="1:28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customHeight="1" spans="1:2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customHeight="1" spans="1:28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customHeight="1" spans="1:28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customHeight="1" spans="1:28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customHeight="1" spans="1:28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customHeight="1" spans="1:28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customHeight="1" spans="1:28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customHeight="1" spans="1:28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customHeight="1" spans="1:28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customHeight="1" spans="1:28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customHeight="1" spans="1:2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customHeight="1" spans="1:28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customHeight="1" spans="1:28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customHeight="1" spans="1:28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customHeight="1" spans="1:28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customHeight="1" spans="1:28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customHeight="1" spans="1:28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customHeight="1" spans="1:28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customHeight="1" spans="1:28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customHeight="1" spans="1:28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customHeight="1" spans="1:2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customHeight="1" spans="1:28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customHeight="1" spans="1:28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customHeight="1" spans="1:28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customHeight="1" spans="1:28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customHeight="1" spans="1:28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customHeight="1" spans="1:28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customHeight="1" spans="1:28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customHeight="1" spans="1:28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customHeight="1" spans="1:28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customHeight="1" spans="1:2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customHeight="1" spans="1:28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customHeight="1" spans="1:28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customHeight="1" spans="1:28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customHeight="1" spans="1:28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customHeight="1" spans="1:28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customHeight="1" spans="1:28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customHeight="1" spans="1:28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customHeight="1" spans="1:28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customHeight="1" spans="1:28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customHeight="1" spans="1:2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customHeight="1" spans="1:28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customHeight="1" spans="1:28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customHeight="1" spans="1:28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customHeight="1" spans="1:28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customHeight="1" spans="1:28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customHeight="1" spans="1:28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customHeight="1" spans="1:28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customHeight="1" spans="1:28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customHeight="1" spans="1:28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customHeight="1" spans="1:2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customHeight="1" spans="1:28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customHeight="1" spans="1:28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customHeight="1" spans="1:28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customHeight="1" spans="1:28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customHeight="1" spans="1:28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customHeight="1" spans="1:28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customHeight="1" spans="1:28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customHeight="1" spans="1:28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customHeight="1" spans="1:28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customHeight="1" spans="1:2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customHeight="1" spans="1:28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customHeight="1" spans="1:28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customHeight="1" spans="1:28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customHeight="1" spans="1:28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customHeight="1" spans="1:28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customHeight="1" spans="1:28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customHeight="1" spans="1:28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customHeight="1" spans="1:28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customHeight="1" spans="1:28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customHeight="1" spans="1:2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customHeight="1" spans="1:28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customHeight="1" spans="1:28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customHeight="1" spans="1:28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customHeight="1" spans="1:28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customHeight="1" spans="1:28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customHeight="1" spans="1:28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customHeight="1" spans="1:28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customHeight="1" spans="1:28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customHeight="1" spans="1:28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customHeight="1" spans="1:2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customHeight="1" spans="1:28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customHeight="1" spans="1:28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customHeight="1" spans="1:28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customHeight="1" spans="1:28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customHeight="1" spans="1:28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customHeight="1" spans="1:28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customHeight="1" spans="1:28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customHeight="1" spans="1:28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customHeight="1" spans="1:28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customHeight="1" spans="1: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customHeight="1" spans="1:28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customHeight="1" spans="1:28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customHeight="1" spans="1:28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customHeight="1" spans="1:28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customHeight="1" spans="1:28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customHeight="1" spans="1:28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customHeight="1" spans="1:28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customHeight="1" spans="1:28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customHeight="1" spans="1:28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customHeight="1" spans="1:2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customHeight="1" spans="1:28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customHeight="1" spans="1:28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customHeight="1" spans="1:28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customHeight="1" spans="1:28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customHeight="1" spans="1:28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customHeight="1" spans="1:28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customHeight="1" spans="1:28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customHeight="1" spans="1:28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customHeight="1" spans="1:28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customHeight="1" spans="1:2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customHeight="1" spans="1:28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customHeight="1" spans="1:28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customHeight="1" spans="1:28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customHeight="1" spans="1:28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customHeight="1" spans="1:28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customHeight="1" spans="1:28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customHeight="1" spans="1:28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customHeight="1" spans="1:28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customHeight="1" spans="1:28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customHeight="1" spans="1:2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customHeight="1" spans="1:28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customHeight="1" spans="1:28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customHeight="1" spans="1:28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customHeight="1" spans="1:28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customHeight="1" spans="1:28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customHeight="1" spans="1:28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customHeight="1" spans="1:28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customHeight="1" spans="1:28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customHeight="1" spans="1:28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customHeight="1" spans="1:2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customHeight="1" spans="1:28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customHeight="1" spans="1:28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customHeight="1" spans="1:28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customHeight="1" spans="1:28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customHeight="1" spans="1:28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customHeight="1" spans="1:28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customHeight="1" spans="1:28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customHeight="1" spans="1:28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customHeight="1" spans="1:28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customHeight="1" spans="1:2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customHeight="1" spans="1:28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customHeight="1" spans="1:28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customHeight="1" spans="1:28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customHeight="1" spans="1:28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customHeight="1" spans="1:28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customHeight="1" spans="1:28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customHeight="1" spans="1:28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customHeight="1" spans="1:28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customHeight="1" spans="1:28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customHeight="1" spans="1:2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customHeight="1" spans="1:28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customHeight="1" spans="1:28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customHeight="1" spans="1:28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customHeight="1" spans="1:28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customHeight="1" spans="1:28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customHeight="1" spans="1:28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customHeight="1" spans="1:28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customHeight="1" spans="1:28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customHeight="1" spans="1:28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customHeight="1" spans="1:2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customHeight="1" spans="1:28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customHeight="1" spans="1:28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customHeight="1" spans="1:28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customHeight="1" spans="1:28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customHeight="1" spans="1:28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customHeight="1" spans="1:28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customHeight="1" spans="1:28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customHeight="1" spans="1:28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customHeight="1" spans="1:28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customHeight="1" spans="1:2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customHeight="1" spans="1:28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customHeight="1" spans="1:28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customHeight="1" spans="1:28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customHeight="1" spans="1:28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customHeight="1" spans="1:28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customHeight="1" spans="1:28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customHeight="1" spans="1:28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customHeight="1" spans="1:28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customHeight="1" spans="1:28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customHeight="1" spans="1:2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customHeight="1" spans="1:28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customHeight="1" spans="1:28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customHeight="1" spans="1:28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customHeight="1" spans="1:28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customHeight="1" spans="1:28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customHeight="1" spans="1:28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customHeight="1" spans="1:28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customHeight="1" spans="1:28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customHeight="1" spans="1:28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customHeight="1" spans="1: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customHeight="1" spans="1:28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customHeight="1" spans="1:28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customHeight="1" spans="1:28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customHeight="1" spans="1:28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customHeight="1" spans="1:28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customHeight="1" spans="1:28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customHeight="1" spans="1:28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customHeight="1" spans="1:28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customHeight="1" spans="1:28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customHeight="1" spans="1:2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customHeight="1" spans="1:28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customHeight="1" spans="1:28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customHeight="1" spans="1:28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customHeight="1" spans="1:28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customHeight="1" spans="1:28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customHeight="1" spans="1:28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customHeight="1" spans="1:28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customHeight="1" spans="1:28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customHeight="1" spans="1:28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customHeight="1" spans="1:2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customHeight="1" spans="1:28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customHeight="1" spans="1:28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customHeight="1" spans="1:28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customHeight="1" spans="1:28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customHeight="1" spans="1:28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customHeight="1" spans="1:28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customHeight="1" spans="1:28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customHeight="1" spans="1:28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customHeight="1" spans="1:28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customHeight="1" spans="1:2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customHeight="1" spans="1:28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customHeight="1" spans="1:28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customHeight="1" spans="1:28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customHeight="1" spans="1:28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customHeight="1" spans="1:28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customHeight="1" spans="1:28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customHeight="1" spans="1:28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customHeight="1" spans="1:28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customHeight="1" spans="1:28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customHeight="1" spans="1:2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customHeight="1" spans="1:28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customHeight="1" spans="1:28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customHeight="1" spans="1:28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customHeight="1" spans="1:28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customHeight="1" spans="1:28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customHeight="1" spans="1:28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customHeight="1" spans="1:28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customHeight="1" spans="1:28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customHeight="1" spans="1:28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customHeight="1" spans="1:2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customHeight="1" spans="1:28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customHeight="1" spans="1:28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customHeight="1" spans="1:28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customHeight="1" spans="1:28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customHeight="1" spans="1:28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customHeight="1" spans="1:28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customHeight="1" spans="1:28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customHeight="1" spans="1:28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customHeight="1" spans="1:28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customHeight="1" spans="1:2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customHeight="1" spans="1:28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customHeight="1" spans="1:28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customHeight="1" spans="1:28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customHeight="1" spans="1:28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customHeight="1" spans="1:28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customHeight="1" spans="1:28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customHeight="1" spans="1:28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customHeight="1" spans="1:28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customHeight="1" spans="1:28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customHeight="1" spans="1:2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customHeight="1" spans="1:28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customHeight="1" spans="1:28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customHeight="1" spans="1:28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customHeight="1" spans="1:28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customHeight="1" spans="1:28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customHeight="1" spans="1:28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customHeight="1" spans="1:28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customHeight="1" spans="1:28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customHeight="1" spans="1:28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customHeight="1" spans="1:2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customHeight="1" spans="1:28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customHeight="1" spans="1:28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customHeight="1" spans="1:28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customHeight="1" spans="1:28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customHeight="1" spans="1:28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customHeight="1" spans="1:28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customHeight="1" spans="1:28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customHeight="1" spans="1:28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customHeight="1" spans="1:28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customHeight="1" spans="1:2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customHeight="1" spans="1:28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customHeight="1" spans="1:28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customHeight="1" spans="1:28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customHeight="1" spans="1:28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customHeight="1" spans="1:28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customHeight="1" spans="1:28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customHeight="1" spans="1:28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customHeight="1" spans="1:28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customHeight="1" spans="1:28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customHeight="1" spans="1: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customHeight="1" spans="1:28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customHeight="1" spans="1:28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customHeight="1" spans="1:28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customHeight="1" spans="1:28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customHeight="1" spans="1:28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customHeight="1" spans="1:28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customHeight="1" spans="1:28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customHeight="1" spans="1:28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customHeight="1" spans="1:28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customHeight="1" spans="1:2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customHeight="1" spans="1:28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customHeight="1" spans="1:28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customHeight="1" spans="1:28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customHeight="1" spans="1:28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customHeight="1" spans="1:28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customHeight="1" spans="1:28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customHeight="1" spans="1:28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customHeight="1" spans="1:28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customHeight="1" spans="1:28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customHeight="1" spans="1:2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customHeight="1" spans="1:28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customHeight="1" spans="1:28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customHeight="1" spans="1:28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customHeight="1" spans="1:28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customHeight="1" spans="1:28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customHeight="1" spans="1:28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customHeight="1" spans="1:28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customHeight="1" spans="1:28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customHeight="1" spans="1:28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customHeight="1" spans="1:2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customHeight="1" spans="1:28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customHeight="1" spans="1:28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customHeight="1" spans="1:28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customHeight="1" spans="1:28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customHeight="1" spans="1:28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customHeight="1" spans="1:28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customHeight="1" spans="1:28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customHeight="1" spans="1:28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customHeight="1" spans="1:28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customHeight="1" spans="1:2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customHeight="1" spans="1:28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customHeight="1" spans="1:28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customHeight="1" spans="1:28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customHeight="1" spans="1:28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customHeight="1" spans="1:28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customHeight="1" spans="1:28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customHeight="1" spans="1:28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customHeight="1" spans="1:28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customHeight="1" spans="1:28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customHeight="1" spans="1:2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customHeight="1" spans="1:28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customHeight="1" spans="1:28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customHeight="1" spans="1:28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customHeight="1" spans="1:28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customHeight="1" spans="1:28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customHeight="1" spans="1:28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customHeight="1" spans="1:28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customHeight="1" spans="1:28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customHeight="1" spans="1:28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customHeight="1" spans="1:2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customHeight="1" spans="1:28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customHeight="1" spans="1:28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customHeight="1" spans="1:28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customHeight="1" spans="1:28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customHeight="1" spans="1:28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customHeight="1" spans="1:28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customHeight="1" spans="1:28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customHeight="1" spans="1:28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customHeight="1" spans="1:28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customHeight="1" spans="1:2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customHeight="1" spans="1:28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customHeight="1" spans="1:28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customHeight="1" spans="1:28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customHeight="1" spans="1:28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customHeight="1" spans="1:28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customHeight="1" spans="1:28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customHeight="1" spans="1:28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customHeight="1" spans="1:28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customHeight="1" spans="1:28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customHeight="1" spans="1:2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customHeight="1" spans="1:28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customHeight="1" spans="1:28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customHeight="1" spans="1:28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customHeight="1" spans="1:28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customHeight="1" spans="1:28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customHeight="1" spans="1:28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customHeight="1" spans="1:28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customHeight="1" spans="1:28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customHeight="1" spans="1:28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customHeight="1" spans="1:2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customHeight="1" spans="1:28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customHeight="1" spans="1:28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customHeight="1" spans="1:28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customHeight="1" spans="1:28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customHeight="1" spans="1:28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customHeight="1" spans="1:28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customHeight="1" spans="1:28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customHeight="1" spans="1:28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customHeight="1" spans="1:28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customHeight="1" spans="1: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customHeight="1" spans="1:28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customHeight="1" spans="1:28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customHeight="1" spans="1:28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customHeight="1" spans="1:28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customHeight="1" spans="1:28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customHeight="1" spans="1:28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customHeight="1" spans="1:28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customHeight="1" spans="1:28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customHeight="1" spans="1:28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customHeight="1" spans="1:2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customHeight="1" spans="1:28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customHeight="1" spans="1:28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customHeight="1" spans="1:28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customHeight="1" spans="1:28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customHeight="1" spans="1:28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customHeight="1" spans="1:28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customHeight="1" spans="1:28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customHeight="1" spans="1:28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customHeight="1" spans="1:28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customHeight="1" spans="1:2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customHeight="1" spans="1:28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customHeight="1" spans="1:28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customHeight="1" spans="1:28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customHeight="1" spans="1:28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customHeight="1" spans="1:28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customHeight="1" spans="1:28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customHeight="1" spans="1:28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customHeight="1" spans="1:28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customHeight="1" spans="1:28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customHeight="1" spans="1:2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customHeight="1" spans="1:28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customHeight="1" spans="1:28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customHeight="1" spans="1:28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customHeight="1" spans="1:28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customHeight="1" spans="1:28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customHeight="1" spans="1:28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customHeight="1" spans="1:28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customHeight="1" spans="1:28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customHeight="1" spans="1:28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customHeight="1" spans="1:2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customHeight="1" spans="1:28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customHeight="1" spans="1:28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customHeight="1" spans="1:28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customHeight="1" spans="1:28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customHeight="1" spans="1:28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customHeight="1" spans="1:28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customHeight="1" spans="1:28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customHeight="1" spans="1:28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customHeight="1" spans="1:28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customHeight="1" spans="1:2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customHeight="1" spans="1:28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customHeight="1" spans="1:28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customHeight="1" spans="1:28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customHeight="1" spans="1:28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customHeight="1" spans="1:28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customHeight="1" spans="1:28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customHeight="1" spans="1:28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customHeight="1" spans="1:28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customHeight="1" spans="1:28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customHeight="1" spans="1:2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customHeight="1" spans="1:28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customHeight="1" spans="1:28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customHeight="1" spans="1:28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customHeight="1" spans="1:28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customHeight="1" spans="1:28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customHeight="1" spans="1:28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customHeight="1" spans="1:28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customHeight="1" spans="1:28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customHeight="1" spans="1:28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customHeight="1" spans="1:2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customHeight="1" spans="1:28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customHeight="1" spans="1:28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customHeight="1" spans="1:28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customHeight="1" spans="1:28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customHeight="1" spans="1:28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customHeight="1" spans="1:28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customHeight="1" spans="1:28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customHeight="1" spans="1:28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customHeight="1" spans="1:28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customHeight="1" spans="1:2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customHeight="1" spans="1:28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customHeight="1" spans="1:28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customHeight="1" spans="1:28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customHeight="1" spans="1:28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customHeight="1" spans="1:28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customHeight="1" spans="1:28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customHeight="1" spans="1:28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customHeight="1" spans="1:28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customHeight="1" spans="1:28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customHeight="1" spans="1:2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customHeight="1" spans="1:28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customHeight="1" spans="1:28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customHeight="1" spans="1:28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customHeight="1" spans="1:28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customHeight="1" spans="1:28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customHeight="1" spans="1:28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customHeight="1" spans="1:28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customHeight="1" spans="1:28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customHeight="1" spans="1:28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customHeight="1" spans="1: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customHeight="1" spans="1:28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customHeight="1" spans="1:28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customHeight="1" spans="1:28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customHeight="1" spans="1:28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customHeight="1" spans="1:28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customHeight="1" spans="1:28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customHeight="1" spans="1:28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customHeight="1" spans="1:28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customHeight="1" spans="1:28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customHeight="1" spans="1:2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customHeight="1" spans="1:28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customHeight="1" spans="1:28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customHeight="1" spans="1:28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customHeight="1" spans="1:28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customHeight="1" spans="1:28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customHeight="1" spans="1:28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customHeight="1" spans="1:28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customHeight="1" spans="1:28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customHeight="1" spans="1:28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customHeight="1" spans="1:2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customHeight="1" spans="1:28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customHeight="1" spans="1:28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customHeight="1" spans="1:28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customHeight="1" spans="1:28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customHeight="1" spans="1:28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customHeight="1" spans="1:28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customHeight="1" spans="1:28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customHeight="1" spans="1:28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customHeight="1" spans="1:28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customHeight="1" spans="1:2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customHeight="1" spans="1:28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customHeight="1" spans="1:28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customHeight="1" spans="1:28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customHeight="1" spans="1:28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customHeight="1" spans="1:28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customHeight="1" spans="1:28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customHeight="1" spans="1:28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customHeight="1" spans="1:28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customHeight="1" spans="1:28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customHeight="1" spans="1:2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customHeight="1" spans="1:28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customHeight="1" spans="1:28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customHeight="1" spans="1:28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customHeight="1" spans="1:28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customHeight="1" spans="1:28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customHeight="1" spans="1:28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customHeight="1" spans="1:28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customHeight="1" spans="1:28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customHeight="1" spans="1:28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customHeight="1" spans="1:2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customHeight="1" spans="1:28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customHeight="1" spans="1:28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customHeight="1" spans="1:28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customHeight="1" spans="1:28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customHeight="1" spans="1:28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customHeight="1" spans="1:28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customHeight="1" spans="1:28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customHeight="1" spans="1:28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customHeight="1" spans="1:28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customHeight="1" spans="1:2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customHeight="1" spans="1:28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customHeight="1" spans="1:28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customHeight="1" spans="1:28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customHeight="1" spans="1:28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customHeight="1" spans="1:28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customHeight="1" spans="1:28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customHeight="1" spans="1:28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customHeight="1" spans="1:28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customHeight="1" spans="1:28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customHeight="1" spans="1:2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customHeight="1" spans="1:28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customHeight="1" spans="1:28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customHeight="1" spans="1:28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customHeight="1" spans="1:28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customHeight="1" spans="1:28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customHeight="1" spans="1:28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customHeight="1" spans="1:28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customHeight="1" spans="1:28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customHeight="1" spans="1:28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customHeight="1" spans="1:2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customHeight="1" spans="1:28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customHeight="1" spans="1:28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customHeight="1" spans="1:28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customHeight="1" spans="1:28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customHeight="1" spans="1:28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customHeight="1" spans="1:28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customHeight="1" spans="1:28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customHeight="1" spans="1:28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customHeight="1" spans="1:28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customHeight="1" spans="1:2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customHeight="1" spans="1:28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customHeight="1" spans="1:28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customHeight="1" spans="1:28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customHeight="1" spans="1:28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customHeight="1" spans="1:28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customHeight="1" spans="1:28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customHeight="1" spans="1:28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customHeight="1" spans="1:28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customHeight="1" spans="1:28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customHeight="1" spans="1: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customHeight="1" spans="1:28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customHeight="1" spans="1:28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customHeight="1" spans="1:28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customHeight="1" spans="1:28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customHeight="1" spans="1:28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customHeight="1" spans="1:28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customHeight="1" spans="1:28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customHeight="1" spans="1:28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customHeight="1" spans="1:28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customHeight="1" spans="1:2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customHeight="1" spans="1:28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customHeight="1" spans="1:28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customHeight="1" spans="1:28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customHeight="1" spans="1:28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customHeight="1" spans="1:28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customHeight="1" spans="1:28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customHeight="1" spans="1:28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customHeight="1" spans="1:28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customHeight="1" spans="1:28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customHeight="1" spans="1:2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customHeight="1" spans="1:28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customHeight="1" spans="1:28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customHeight="1" spans="1:28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customHeight="1" spans="1:28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customHeight="1" spans="1:28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customHeight="1" spans="1:28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customHeight="1" spans="1:28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customHeight="1" spans="1:28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customHeight="1" spans="1:28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customHeight="1" spans="1:2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customHeight="1" spans="1:28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customHeight="1" spans="1:28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customHeight="1" spans="1:28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customHeight="1" spans="1:28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customHeight="1" spans="1:28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customHeight="1" spans="1:28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customHeight="1" spans="1:28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customHeight="1" spans="1:28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customHeight="1" spans="1:28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customHeight="1" spans="1:2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customHeight="1" spans="1:28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customHeight="1" spans="1:28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customHeight="1" spans="1:28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customHeight="1" spans="1:28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customHeight="1" spans="1:28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customHeight="1" spans="1:28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customHeight="1" spans="1:28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customHeight="1" spans="1:28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customHeight="1" spans="1:28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customHeight="1" spans="1:2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customHeight="1" spans="1:28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customHeight="1" spans="1:28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customHeight="1" spans="1:28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customHeight="1" spans="1:28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customHeight="1" spans="1:28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customHeight="1" spans="1:28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customHeight="1" spans="1:28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customHeight="1" spans="1:28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customHeight="1" spans="1:28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customHeight="1" spans="1:2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customHeight="1" spans="1:28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customHeight="1" spans="1:28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customHeight="1" spans="1:28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customHeight="1" spans="1:28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customHeight="1" spans="1:28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customHeight="1" spans="1:28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customHeight="1" spans="1:28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customHeight="1" spans="1:28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customHeight="1" spans="1:28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customHeight="1" spans="1:2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customHeight="1" spans="1:28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customHeight="1" spans="1:28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customHeight="1" spans="1:28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customHeight="1" spans="1:28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customHeight="1" spans="1:28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customHeight="1" spans="1:28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customHeight="1" spans="1:28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customHeight="1" spans="1:28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customHeight="1" spans="1:28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customHeight="1" spans="1:2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customHeight="1" spans="1:28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customHeight="1" spans="1:28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customHeight="1" spans="1:28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customHeight="1" spans="1:28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customHeight="1" spans="1:28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customHeight="1" spans="1:28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customHeight="1" spans="1:28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customHeight="1" spans="1:28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customHeight="1" spans="1:28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customHeight="1" spans="1:2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customHeight="1" spans="1:28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customHeight="1" spans="1:28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customHeight="1" spans="1:28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customHeight="1" spans="1:28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customHeight="1" spans="1:28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customHeight="1" spans="1:28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customHeight="1" spans="1:28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customHeight="1" spans="1:28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customHeight="1" spans="1:28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customHeight="1" spans="1: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customHeight="1" spans="1:28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customHeight="1" spans="1:28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customHeight="1" spans="1:28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customHeight="1" spans="1:28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customHeight="1" spans="1:28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customHeight="1" spans="1:28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customHeight="1" spans="1:28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customHeight="1" spans="1:28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customHeight="1" spans="1:28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customHeight="1" spans="1:2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customHeight="1" spans="1:28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customHeight="1" spans="1:28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customHeight="1" spans="1:28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customHeight="1" spans="1:28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customHeight="1" spans="1:28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customHeight="1" spans="1:28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customHeight="1" spans="1:28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customHeight="1" spans="1:28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customHeight="1" spans="1:28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customHeight="1" spans="1:2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customHeight="1" spans="1:28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customHeight="1" spans="1:28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customHeight="1" spans="1:28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customHeight="1" spans="1:28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customHeight="1" spans="1:28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customHeight="1" spans="1:28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customHeight="1" spans="1:28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customHeight="1" spans="1:28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customHeight="1" spans="1:28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customHeight="1" spans="1:2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customHeight="1" spans="1:28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customHeight="1" spans="1:28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customHeight="1" spans="1:28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customHeight="1" spans="1:28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customHeight="1" spans="1:28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customHeight="1" spans="1:28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customHeight="1" spans="1:28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customHeight="1" spans="1:28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customHeight="1" spans="1:28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customHeight="1" spans="1:2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customHeight="1" spans="1:28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customHeight="1" spans="1:28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customHeight="1" spans="1:28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customHeight="1" spans="1:28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customHeight="1" spans="1:28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customHeight="1" spans="1:28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customHeight="1" spans="1:28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customHeight="1" spans="1:28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customHeight="1" spans="1:28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customHeight="1" spans="1:2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customHeight="1" spans="1:28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customHeight="1" spans="1:28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customHeight="1" spans="1:28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customHeight="1" spans="1:28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customHeight="1" spans="1:28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customHeight="1" spans="1:28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customHeight="1" spans="1:28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customHeight="1" spans="1:28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customHeight="1" spans="1:28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customHeight="1" spans="1:2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customHeight="1" spans="1:28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customHeight="1" spans="1:28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customHeight="1" spans="1:28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customHeight="1" spans="1:28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customHeight="1" spans="1:28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customHeight="1" spans="1:28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customHeight="1" spans="1:28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customHeight="1" spans="1:28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customHeight="1" spans="1:28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customHeight="1" spans="1:2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customHeight="1" spans="1:28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customHeight="1" spans="1:28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customHeight="1" spans="1:28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customHeight="1" spans="1:28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customHeight="1" spans="1:28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customHeight="1" spans="1:28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customHeight="1" spans="1:28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customHeight="1" spans="1:28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customHeight="1" spans="1:28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customHeight="1" spans="1:2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customHeight="1" spans="1:28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customHeight="1" spans="1:28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customHeight="1" spans="1:28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customHeight="1" spans="1:28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customHeight="1" spans="1:28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customHeight="1" spans="1:28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customHeight="1" spans="1:28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customHeight="1" spans="1:28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customHeight="1" spans="1:28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customHeight="1" spans="1:2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customHeight="1" spans="1:28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customHeight="1" spans="1:28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customHeight="1" spans="1:28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customHeight="1" spans="1:28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customHeight="1" spans="1:28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customHeight="1" spans="1:28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customHeight="1" spans="1:28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customHeight="1" spans="1:28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customHeight="1" spans="1:28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customHeight="1" spans="1: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customHeight="1" spans="1:28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customHeight="1" spans="1:28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customHeight="1" spans="1:28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customHeight="1" spans="1:28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customHeight="1" spans="1:28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customHeight="1" spans="1:28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customHeight="1" spans="1:28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customHeight="1" spans="1:28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customHeight="1" spans="1:28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customHeight="1" spans="1:2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customHeight="1" spans="1:28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customHeight="1" spans="1:28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customHeight="1" spans="1:28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customHeight="1" spans="1:28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customHeight="1" spans="1:28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customHeight="1" spans="1:28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customHeight="1" spans="1:28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customHeight="1" spans="1:28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customHeight="1" spans="1:28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customHeight="1" spans="1:2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customHeight="1" spans="1:28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customHeight="1" spans="1:28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customHeight="1" spans="1:28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customHeight="1" spans="1:28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customHeight="1" spans="1:28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customHeight="1" spans="1:28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customHeight="1" spans="1:28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customHeight="1" spans="1:28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customHeight="1" spans="1:28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customHeight="1" spans="1:2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customHeight="1" spans="1:28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customHeight="1" spans="1:28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customHeight="1" spans="1:28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customHeight="1" spans="1:28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customHeight="1" spans="1:28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customHeight="1" spans="1:28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customHeight="1" spans="1:28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customHeight="1" spans="1:28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customHeight="1" spans="1:28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customHeight="1" spans="1:2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customHeight="1" spans="1:28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customHeight="1" spans="1:28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customHeight="1" spans="1:28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customHeight="1" spans="1:28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customHeight="1" spans="1:28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customHeight="1" spans="1:28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customHeight="1" spans="1:28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customHeight="1" spans="1:28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customHeight="1" spans="1:28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customHeight="1" spans="1:2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customHeight="1" spans="1:28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customHeight="1" spans="1:28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customHeight="1" spans="1:28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customHeight="1" spans="1:28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customHeight="1" spans="1:28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customHeight="1" spans="1:28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customHeight="1" spans="1:28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customHeight="1" spans="1:28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customHeight="1" spans="1:28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customHeight="1" spans="1:2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customHeight="1" spans="1:28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customHeight="1" spans="1:28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customHeight="1" spans="1:28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customHeight="1" spans="1:28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customHeight="1" spans="1:28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customHeight="1" spans="1:28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customHeight="1" spans="1:28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customHeight="1" spans="1:28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customHeight="1" spans="1:28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customHeight="1" spans="1:2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customHeight="1" spans="1:28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customHeight="1" spans="1:28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customHeight="1" spans="1:28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customHeight="1" spans="1:28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</sheetData>
  <mergeCells count="3">
    <mergeCell ref="F1:K1"/>
    <mergeCell ref="F14:K14"/>
    <mergeCell ref="F39:K3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113"/>
  <sheetViews>
    <sheetView workbookViewId="0">
      <selection activeCell="A1" sqref="A1"/>
    </sheetView>
  </sheetViews>
  <sheetFormatPr defaultColWidth="12.6339285714286" defaultRowHeight="15.75" customHeight="1"/>
  <sheetData>
    <row r="1" customHeight="1" spans="1:18">
      <c r="A1" s="23" t="s">
        <v>72</v>
      </c>
      <c r="B1" s="23" t="s">
        <v>73</v>
      </c>
      <c r="C1" s="23" t="s">
        <v>74</v>
      </c>
      <c r="D1" s="23" t="s">
        <v>75</v>
      </c>
      <c r="E1" s="23" t="s">
        <v>76</v>
      </c>
      <c r="F1" s="23" t="s">
        <v>77</v>
      </c>
      <c r="G1" s="23" t="s">
        <v>78</v>
      </c>
      <c r="H1" s="23" t="s">
        <v>79</v>
      </c>
      <c r="I1" s="23" t="s">
        <v>80</v>
      </c>
      <c r="J1" s="23" t="s">
        <v>81</v>
      </c>
      <c r="K1" s="23" t="s">
        <v>82</v>
      </c>
      <c r="L1" s="23" t="s">
        <v>83</v>
      </c>
      <c r="M1" s="23" t="s">
        <v>84</v>
      </c>
      <c r="N1" s="23" t="s">
        <v>85</v>
      </c>
      <c r="O1" s="23" t="s">
        <v>86</v>
      </c>
      <c r="P1" s="23" t="s">
        <v>87</v>
      </c>
      <c r="Q1" s="23" t="s">
        <v>88</v>
      </c>
      <c r="R1" s="23" t="s">
        <v>89</v>
      </c>
    </row>
    <row r="2" customHeight="1" spans="1:21">
      <c r="A2" s="23">
        <v>1</v>
      </c>
      <c r="B2" s="24"/>
      <c r="C2" s="24"/>
      <c r="D2" s="25" t="s">
        <v>63</v>
      </c>
      <c r="E2" s="32"/>
      <c r="F2" s="32"/>
      <c r="G2" s="32"/>
      <c r="H2" s="32"/>
      <c r="I2" s="36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customHeight="1" spans="1:21">
      <c r="A3" s="23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customHeight="1" spans="1:21">
      <c r="A4" s="23">
        <v>3</v>
      </c>
      <c r="B4" s="24"/>
      <c r="C4" s="24"/>
      <c r="D4" s="26" t="s">
        <v>64</v>
      </c>
      <c r="E4" s="28" t="s">
        <v>10</v>
      </c>
      <c r="F4" s="28" t="s">
        <v>11</v>
      </c>
      <c r="G4" s="28" t="s">
        <v>12</v>
      </c>
      <c r="H4" s="28" t="s">
        <v>13</v>
      </c>
      <c r="I4" s="28" t="s">
        <v>33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customHeight="1" spans="1:21">
      <c r="A5" s="23">
        <v>4</v>
      </c>
      <c r="B5" s="24"/>
      <c r="C5" s="24"/>
      <c r="D5" s="27" t="s">
        <v>42</v>
      </c>
      <c r="E5" s="33">
        <v>100000</v>
      </c>
      <c r="F5" s="33">
        <v>125000</v>
      </c>
      <c r="G5" s="33">
        <v>125000</v>
      </c>
      <c r="H5" s="33">
        <v>150000</v>
      </c>
      <c r="I5" s="37">
        <v>500000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customHeight="1" spans="1:21">
      <c r="A6" s="23">
        <v>5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customHeight="1" spans="1:21">
      <c r="A7" s="23">
        <v>6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customHeight="1" spans="1:21">
      <c r="A8" s="23">
        <v>7</v>
      </c>
      <c r="B8" s="24"/>
      <c r="C8" s="24"/>
      <c r="D8" s="26" t="s">
        <v>20</v>
      </c>
      <c r="E8" s="28" t="s">
        <v>65</v>
      </c>
      <c r="F8" s="28" t="s">
        <v>22</v>
      </c>
      <c r="G8" s="28" t="s">
        <v>23</v>
      </c>
      <c r="H8" s="28" t="s">
        <v>24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customHeight="1" spans="1:21">
      <c r="A9" s="23">
        <v>8</v>
      </c>
      <c r="B9" s="24"/>
      <c r="C9" s="24"/>
      <c r="D9" s="28" t="s">
        <v>26</v>
      </c>
      <c r="E9" s="34">
        <v>0.38</v>
      </c>
      <c r="F9" s="34">
        <v>0.6</v>
      </c>
      <c r="G9" s="34">
        <v>0.9</v>
      </c>
      <c r="H9" s="34">
        <v>0.75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customHeight="1" spans="1:21">
      <c r="A10" s="23">
        <v>9</v>
      </c>
      <c r="B10" s="24"/>
      <c r="C10" s="24"/>
      <c r="D10" s="28" t="s">
        <v>27</v>
      </c>
      <c r="E10" s="34">
        <v>0.39</v>
      </c>
      <c r="F10" s="34">
        <v>0.4</v>
      </c>
      <c r="G10" s="34">
        <v>0.83</v>
      </c>
      <c r="H10" s="34">
        <v>1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customHeight="1" spans="1:21">
      <c r="A11" s="23">
        <v>10</v>
      </c>
      <c r="B11" s="24"/>
      <c r="C11" s="24"/>
      <c r="D11" s="28" t="s">
        <v>28</v>
      </c>
      <c r="E11" s="34">
        <v>0.37</v>
      </c>
      <c r="F11" s="34">
        <v>0.4</v>
      </c>
      <c r="G11" s="34">
        <v>0.7</v>
      </c>
      <c r="H11" s="34">
        <v>0.6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customHeight="1" spans="1:21">
      <c r="A12" s="23">
        <v>11</v>
      </c>
      <c r="B12" s="24"/>
      <c r="C12" s="29"/>
      <c r="D12" s="28" t="s">
        <v>29</v>
      </c>
      <c r="E12" s="34">
        <v>0.64</v>
      </c>
      <c r="F12" s="34">
        <v>0.84</v>
      </c>
      <c r="G12" s="34">
        <v>0.89</v>
      </c>
      <c r="H12" s="34">
        <v>1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customHeight="1" spans="1:21">
      <c r="A13" s="23">
        <v>12</v>
      </c>
      <c r="B13" s="24"/>
      <c r="C13" s="24"/>
      <c r="D13" s="28" t="s">
        <v>30</v>
      </c>
      <c r="E13" s="34">
        <v>0.9</v>
      </c>
      <c r="F13" s="34">
        <v>0.82</v>
      </c>
      <c r="G13" s="34">
        <v>0.95</v>
      </c>
      <c r="H13" s="34">
        <v>0.85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customHeight="1" spans="1:21">
      <c r="A14" s="23">
        <v>13</v>
      </c>
      <c r="B14" s="24"/>
      <c r="C14" s="24"/>
      <c r="D14" s="24" t="s">
        <v>31</v>
      </c>
      <c r="E14" s="35">
        <v>0.03</v>
      </c>
      <c r="F14" s="35">
        <v>0.07</v>
      </c>
      <c r="G14" s="35">
        <v>0.44</v>
      </c>
      <c r="H14" s="35">
        <v>0.38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customHeight="1" spans="1:21">
      <c r="A15" s="23">
        <v>14</v>
      </c>
      <c r="B15" s="24"/>
      <c r="C15" s="24"/>
      <c r="D15" s="25" t="s">
        <v>14</v>
      </c>
      <c r="E15" s="32"/>
      <c r="F15" s="32"/>
      <c r="G15" s="32"/>
      <c r="H15" s="32"/>
      <c r="I15" s="36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customHeight="1" spans="1:21">
      <c r="A16" s="23">
        <v>15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customHeight="1" spans="1:21">
      <c r="A17" s="23">
        <v>16</v>
      </c>
      <c r="B17" s="24"/>
      <c r="C17" s="24"/>
      <c r="D17" s="26" t="s">
        <v>68</v>
      </c>
      <c r="E17" s="28" t="s">
        <v>65</v>
      </c>
      <c r="F17" s="28" t="s">
        <v>22</v>
      </c>
      <c r="G17" s="28" t="s">
        <v>23</v>
      </c>
      <c r="H17" s="28" t="s">
        <v>24</v>
      </c>
      <c r="I17" s="28" t="s">
        <v>33</v>
      </c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customHeight="1" spans="1:21">
      <c r="A18" s="23">
        <v>17</v>
      </c>
      <c r="B18" s="24"/>
      <c r="C18" s="24"/>
      <c r="D18" s="28" t="s">
        <v>14</v>
      </c>
      <c r="E18" s="33">
        <v>135000</v>
      </c>
      <c r="F18" s="33">
        <v>90000</v>
      </c>
      <c r="G18" s="33">
        <v>150000</v>
      </c>
      <c r="H18" s="33">
        <v>125000</v>
      </c>
      <c r="I18" s="37">
        <v>500000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customHeight="1" spans="1:21">
      <c r="A19" s="23">
        <v>18</v>
      </c>
      <c r="B19" s="24"/>
      <c r="C19" s="24"/>
      <c r="D19" s="27" t="s">
        <v>35</v>
      </c>
      <c r="E19" s="33">
        <v>25000</v>
      </c>
      <c r="F19" s="33">
        <v>25000</v>
      </c>
      <c r="G19" s="33">
        <v>18000</v>
      </c>
      <c r="H19" s="33">
        <v>8000</v>
      </c>
      <c r="I19" s="33">
        <v>15171</v>
      </c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customHeight="1" spans="1:21">
      <c r="A20" s="23">
        <v>19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customHeight="1" spans="1:21">
      <c r="A21" s="23">
        <v>20</v>
      </c>
      <c r="B21" s="24"/>
      <c r="C21" s="24"/>
      <c r="D21" s="26" t="s">
        <v>14</v>
      </c>
      <c r="E21" s="28" t="s">
        <v>65</v>
      </c>
      <c r="F21" s="28" t="s">
        <v>22</v>
      </c>
      <c r="G21" s="28" t="s">
        <v>23</v>
      </c>
      <c r="H21" s="28" t="s">
        <v>24</v>
      </c>
      <c r="I21" s="28" t="s">
        <v>33</v>
      </c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customHeight="1" spans="1:21">
      <c r="A22" s="23">
        <v>21</v>
      </c>
      <c r="B22" s="24"/>
      <c r="C22" s="30" t="s">
        <v>36</v>
      </c>
      <c r="D22" s="27" t="s">
        <v>3</v>
      </c>
      <c r="E22" s="27">
        <v>5</v>
      </c>
      <c r="F22" s="27">
        <v>4</v>
      </c>
      <c r="G22" s="27">
        <v>8</v>
      </c>
      <c r="H22" s="27">
        <v>16</v>
      </c>
      <c r="I22" s="28">
        <v>33</v>
      </c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customHeight="1" spans="1:21">
      <c r="A23" s="23">
        <v>22</v>
      </c>
      <c r="B23" s="24"/>
      <c r="C23" s="24"/>
      <c r="D23" s="27" t="s">
        <v>37</v>
      </c>
      <c r="E23" s="27">
        <v>6</v>
      </c>
      <c r="F23" s="27">
        <v>4</v>
      </c>
      <c r="G23" s="27">
        <v>9</v>
      </c>
      <c r="H23" s="27">
        <v>18</v>
      </c>
      <c r="I23" s="28">
        <v>38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customHeight="1" spans="1:21">
      <c r="A24" s="23">
        <v>23</v>
      </c>
      <c r="B24" s="24"/>
      <c r="C24" s="24"/>
      <c r="D24" s="27" t="s">
        <v>38</v>
      </c>
      <c r="E24" s="27">
        <v>9</v>
      </c>
      <c r="F24" s="27">
        <v>5</v>
      </c>
      <c r="G24" s="27">
        <v>10</v>
      </c>
      <c r="H24" s="27">
        <v>18</v>
      </c>
      <c r="I24" s="28">
        <v>43</v>
      </c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customHeight="1" spans="1:21">
      <c r="A25" s="23">
        <v>24</v>
      </c>
      <c r="B25" s="24"/>
      <c r="C25" s="24"/>
      <c r="D25" s="27" t="s">
        <v>39</v>
      </c>
      <c r="E25" s="27">
        <v>25</v>
      </c>
      <c r="F25" s="27">
        <v>13</v>
      </c>
      <c r="G25" s="27">
        <v>14</v>
      </c>
      <c r="H25" s="27">
        <v>31</v>
      </c>
      <c r="I25" s="28">
        <v>83</v>
      </c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customHeight="1" spans="1:21">
      <c r="A26" s="23">
        <v>25</v>
      </c>
      <c r="B26" s="24"/>
      <c r="C26" s="24"/>
      <c r="D26" s="27" t="s">
        <v>40</v>
      </c>
      <c r="E26" s="27">
        <v>66</v>
      </c>
      <c r="F26" s="27">
        <v>33</v>
      </c>
      <c r="G26" s="27">
        <v>17</v>
      </c>
      <c r="H26" s="27">
        <v>31</v>
      </c>
      <c r="I26" s="28">
        <v>146</v>
      </c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customHeight="1" spans="1:21">
      <c r="A27" s="23">
        <v>26</v>
      </c>
      <c r="B27" s="24"/>
      <c r="C27" s="24"/>
      <c r="D27" s="27" t="s">
        <v>41</v>
      </c>
      <c r="E27" s="27">
        <v>172</v>
      </c>
      <c r="F27" s="27">
        <v>54</v>
      </c>
      <c r="G27" s="27">
        <v>19</v>
      </c>
      <c r="H27" s="27">
        <v>41</v>
      </c>
      <c r="I27" s="28">
        <v>287</v>
      </c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customHeight="1" spans="1:21">
      <c r="A28" s="23">
        <v>27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customHeight="1" spans="1:21">
      <c r="A29" s="23">
        <v>28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customHeight="1" spans="1:21">
      <c r="A30" s="23">
        <v>29</v>
      </c>
      <c r="B30" s="24"/>
      <c r="C30" s="24"/>
      <c r="D30" s="26" t="s">
        <v>14</v>
      </c>
      <c r="E30" s="28" t="s">
        <v>65</v>
      </c>
      <c r="F30" s="28" t="s">
        <v>22</v>
      </c>
      <c r="G30" s="28" t="s">
        <v>23</v>
      </c>
      <c r="H30" s="28" t="s">
        <v>24</v>
      </c>
      <c r="I30" s="28" t="s">
        <v>33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customHeight="1" spans="1:21">
      <c r="A31" s="23">
        <v>30</v>
      </c>
      <c r="B31" s="24"/>
      <c r="C31" s="30" t="s">
        <v>42</v>
      </c>
      <c r="D31" s="27" t="s">
        <v>3</v>
      </c>
      <c r="E31" s="33">
        <v>135000</v>
      </c>
      <c r="F31" s="33">
        <v>90000</v>
      </c>
      <c r="G31" s="33">
        <v>150000</v>
      </c>
      <c r="H31" s="33">
        <v>125000</v>
      </c>
      <c r="I31" s="37">
        <v>500000</v>
      </c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customHeight="1" spans="1:21">
      <c r="A32" s="23">
        <v>31</v>
      </c>
      <c r="B32" s="24"/>
      <c r="C32" s="24"/>
      <c r="D32" s="27" t="s">
        <v>37</v>
      </c>
      <c r="E32" s="33">
        <v>150000</v>
      </c>
      <c r="F32" s="33">
        <v>109756</v>
      </c>
      <c r="G32" s="33">
        <v>157895</v>
      </c>
      <c r="H32" s="33">
        <v>147059</v>
      </c>
      <c r="I32" s="37">
        <v>564710</v>
      </c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customHeight="1" spans="1:21">
      <c r="A33" s="23">
        <v>32</v>
      </c>
      <c r="B33" s="24"/>
      <c r="C33" s="24"/>
      <c r="D33" s="27" t="s">
        <v>38</v>
      </c>
      <c r="E33" s="33">
        <v>235331</v>
      </c>
      <c r="F33" s="33">
        <v>130662</v>
      </c>
      <c r="G33" s="33">
        <v>177629</v>
      </c>
      <c r="H33" s="33">
        <v>147059</v>
      </c>
      <c r="I33" s="37">
        <v>690681</v>
      </c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customHeight="1" spans="1:21">
      <c r="A34" s="23">
        <v>33</v>
      </c>
      <c r="B34" s="24"/>
      <c r="C34" s="24"/>
      <c r="D34" s="27" t="s">
        <v>39</v>
      </c>
      <c r="E34" s="33">
        <v>636030</v>
      </c>
      <c r="F34" s="33">
        <v>326655</v>
      </c>
      <c r="G34" s="33">
        <v>253756</v>
      </c>
      <c r="H34" s="33">
        <v>245098</v>
      </c>
      <c r="I34" s="37">
        <v>1461539</v>
      </c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customHeight="1" spans="1:21">
      <c r="A35" s="23">
        <v>34</v>
      </c>
      <c r="B35" s="24"/>
      <c r="C35" s="24"/>
      <c r="D35" s="27" t="s">
        <v>40</v>
      </c>
      <c r="E35" s="33">
        <v>1637986</v>
      </c>
      <c r="F35" s="33">
        <v>816638</v>
      </c>
      <c r="G35" s="33">
        <v>305730</v>
      </c>
      <c r="H35" s="33">
        <v>245098</v>
      </c>
      <c r="I35" s="37">
        <v>3005452</v>
      </c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customHeight="1" spans="1:21">
      <c r="A36" s="23">
        <v>35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customHeight="1" spans="1:21">
      <c r="A37" s="23">
        <v>36</v>
      </c>
      <c r="B37" s="24"/>
      <c r="C37" s="24"/>
      <c r="D37" s="31"/>
      <c r="E37" s="31"/>
      <c r="F37" s="31"/>
      <c r="G37" s="31"/>
      <c r="H37" s="31"/>
      <c r="I37" s="31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customHeight="1" spans="1:21">
      <c r="A38" s="23">
        <v>37</v>
      </c>
      <c r="B38" s="24"/>
      <c r="C38" s="24"/>
      <c r="D38" s="31"/>
      <c r="E38" s="31"/>
      <c r="F38" s="31"/>
      <c r="G38" s="31"/>
      <c r="H38" s="31"/>
      <c r="I38" s="31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customHeight="1" spans="1:21">
      <c r="A39" s="23">
        <v>38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customHeight="1" spans="1:21">
      <c r="A40" s="23">
        <v>39</v>
      </c>
      <c r="B40" s="24"/>
      <c r="C40" s="24"/>
      <c r="D40" s="25" t="s">
        <v>58</v>
      </c>
      <c r="E40" s="32"/>
      <c r="F40" s="32"/>
      <c r="G40" s="32"/>
      <c r="H40" s="32"/>
      <c r="I40" s="36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customHeight="1" spans="1:21">
      <c r="A41" s="23">
        <v>40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customHeight="1" spans="1:21">
      <c r="A42" s="23">
        <v>41</v>
      </c>
      <c r="B42" s="24"/>
      <c r="C42" s="27" t="s">
        <v>42</v>
      </c>
      <c r="D42" s="26" t="s">
        <v>10</v>
      </c>
      <c r="E42" s="28" t="s">
        <v>65</v>
      </c>
      <c r="F42" s="28" t="s">
        <v>22</v>
      </c>
      <c r="G42" s="28" t="s">
        <v>23</v>
      </c>
      <c r="H42" s="28" t="s">
        <v>24</v>
      </c>
      <c r="I42" s="28" t="s">
        <v>33</v>
      </c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customHeight="1" spans="1:21">
      <c r="A43" s="23">
        <v>42</v>
      </c>
      <c r="B43" s="27">
        <v>100000</v>
      </c>
      <c r="C43" s="27" t="s">
        <v>10</v>
      </c>
      <c r="D43" s="27" t="s">
        <v>3</v>
      </c>
      <c r="E43" s="33">
        <v>35000</v>
      </c>
      <c r="F43" s="33">
        <v>18000</v>
      </c>
      <c r="G43" s="33">
        <v>30000</v>
      </c>
      <c r="H43" s="33">
        <v>25000</v>
      </c>
      <c r="I43" s="37">
        <v>108000</v>
      </c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customHeight="1" spans="1:21">
      <c r="A44" s="23">
        <v>43</v>
      </c>
      <c r="B44" s="24"/>
      <c r="C44" s="24"/>
      <c r="D44" s="27" t="s">
        <v>37</v>
      </c>
      <c r="E44" s="33">
        <v>38889</v>
      </c>
      <c r="F44" s="33">
        <v>21951</v>
      </c>
      <c r="G44" s="33">
        <v>31579</v>
      </c>
      <c r="H44" s="33">
        <v>29412</v>
      </c>
      <c r="I44" s="37">
        <v>121831</v>
      </c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customHeight="1" spans="1:21">
      <c r="A45" s="23">
        <v>44</v>
      </c>
      <c r="B45" s="24"/>
      <c r="C45" s="24"/>
      <c r="D45" s="27" t="s">
        <v>38</v>
      </c>
      <c r="E45" s="33">
        <v>61012</v>
      </c>
      <c r="F45" s="33">
        <v>26132</v>
      </c>
      <c r="G45" s="33">
        <v>35526</v>
      </c>
      <c r="H45" s="33">
        <v>29412</v>
      </c>
      <c r="I45" s="37">
        <v>152082</v>
      </c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customHeight="1" spans="1:21">
      <c r="A46" s="23">
        <v>45</v>
      </c>
      <c r="B46" s="24"/>
      <c r="C46" s="24"/>
      <c r="D46" s="27" t="s">
        <v>39</v>
      </c>
      <c r="E46" s="33">
        <v>164897</v>
      </c>
      <c r="F46" s="33">
        <v>65331</v>
      </c>
      <c r="G46" s="33">
        <v>50751</v>
      </c>
      <c r="H46" s="33">
        <v>49020</v>
      </c>
      <c r="I46" s="37">
        <v>329998</v>
      </c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customHeight="1" spans="1:21">
      <c r="A47" s="23">
        <v>46</v>
      </c>
      <c r="B47" s="24"/>
      <c r="C47" s="24"/>
      <c r="D47" s="27" t="s">
        <v>40</v>
      </c>
      <c r="E47" s="33">
        <v>424663</v>
      </c>
      <c r="F47" s="33">
        <v>163328</v>
      </c>
      <c r="G47" s="33">
        <v>61146</v>
      </c>
      <c r="H47" s="33">
        <v>49020</v>
      </c>
      <c r="I47" s="37">
        <v>698156</v>
      </c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customHeight="1" spans="1:21">
      <c r="A48" s="23">
        <v>47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customHeight="1" spans="1:21">
      <c r="A49" s="23">
        <v>48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customHeight="1" spans="1:21">
      <c r="A50" s="23">
        <v>49</v>
      </c>
      <c r="B50" s="24"/>
      <c r="C50" s="27" t="s">
        <v>36</v>
      </c>
      <c r="D50" s="26" t="s">
        <v>10</v>
      </c>
      <c r="E50" s="28" t="s">
        <v>65</v>
      </c>
      <c r="F50" s="28" t="s">
        <v>22</v>
      </c>
      <c r="G50" s="28" t="s">
        <v>23</v>
      </c>
      <c r="H50" s="28" t="s">
        <v>24</v>
      </c>
      <c r="I50" s="28" t="s">
        <v>33</v>
      </c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customHeight="1" spans="1:21">
      <c r="A51" s="23">
        <v>50</v>
      </c>
      <c r="B51" s="24"/>
      <c r="C51" s="27" t="s">
        <v>10</v>
      </c>
      <c r="D51" s="27" t="s">
        <v>3</v>
      </c>
      <c r="E51" s="27">
        <v>1</v>
      </c>
      <c r="F51" s="27">
        <v>1</v>
      </c>
      <c r="G51" s="27">
        <v>2</v>
      </c>
      <c r="H51" s="27">
        <v>3</v>
      </c>
      <c r="I51" s="28">
        <v>7</v>
      </c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customHeight="1" spans="1:21">
      <c r="A52" s="23">
        <v>51</v>
      </c>
      <c r="B52" s="24"/>
      <c r="C52" s="24"/>
      <c r="D52" s="27" t="s">
        <v>37</v>
      </c>
      <c r="E52" s="27">
        <v>2</v>
      </c>
      <c r="F52" s="27">
        <v>1</v>
      </c>
      <c r="G52" s="27">
        <v>2</v>
      </c>
      <c r="H52" s="27">
        <v>4</v>
      </c>
      <c r="I52" s="28">
        <v>8</v>
      </c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customHeight="1" spans="1:21">
      <c r="A53" s="23">
        <v>52</v>
      </c>
      <c r="B53" s="24"/>
      <c r="C53" s="24"/>
      <c r="D53" s="27" t="s">
        <v>38</v>
      </c>
      <c r="E53" s="27">
        <v>2</v>
      </c>
      <c r="F53" s="27">
        <v>1</v>
      </c>
      <c r="G53" s="27">
        <v>2</v>
      </c>
      <c r="H53" s="27">
        <v>4</v>
      </c>
      <c r="I53" s="28">
        <v>9</v>
      </c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customHeight="1" spans="1:21">
      <c r="A54" s="23">
        <v>53</v>
      </c>
      <c r="B54" s="24"/>
      <c r="C54" s="24"/>
      <c r="D54" s="27" t="s">
        <v>39</v>
      </c>
      <c r="E54" s="27">
        <v>7</v>
      </c>
      <c r="F54" s="27">
        <v>3</v>
      </c>
      <c r="G54" s="27">
        <v>3</v>
      </c>
      <c r="H54" s="27">
        <v>6</v>
      </c>
      <c r="I54" s="28">
        <v>18</v>
      </c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customHeight="1" spans="1:21">
      <c r="A55" s="23">
        <v>54</v>
      </c>
      <c r="B55" s="24"/>
      <c r="C55" s="24"/>
      <c r="D55" s="27" t="s">
        <v>40</v>
      </c>
      <c r="E55" s="27">
        <v>17</v>
      </c>
      <c r="F55" s="27">
        <v>7</v>
      </c>
      <c r="G55" s="27">
        <v>3</v>
      </c>
      <c r="H55" s="27">
        <v>6</v>
      </c>
      <c r="I55" s="28">
        <v>33</v>
      </c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customHeight="1" spans="1:21">
      <c r="A56" s="23">
        <v>55</v>
      </c>
      <c r="B56" s="24"/>
      <c r="C56" s="24"/>
      <c r="D56" s="27" t="s">
        <v>41</v>
      </c>
      <c r="E56" s="27">
        <v>45</v>
      </c>
      <c r="F56" s="27">
        <v>11</v>
      </c>
      <c r="G56" s="27">
        <v>4</v>
      </c>
      <c r="H56" s="27">
        <v>8</v>
      </c>
      <c r="I56" s="28">
        <v>68</v>
      </c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customHeight="1" spans="1:21">
      <c r="A57" s="23">
        <v>56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customHeight="1" spans="1:21">
      <c r="A58" s="23">
        <v>57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customHeight="1" spans="1:21">
      <c r="A59" s="23">
        <v>58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customHeight="1" spans="1:21">
      <c r="A60" s="23">
        <v>59</v>
      </c>
      <c r="B60" s="24"/>
      <c r="C60" s="27" t="s">
        <v>42</v>
      </c>
      <c r="D60" s="26" t="s">
        <v>11</v>
      </c>
      <c r="E60" s="28" t="s">
        <v>65</v>
      </c>
      <c r="F60" s="28" t="s">
        <v>22</v>
      </c>
      <c r="G60" s="28" t="s">
        <v>23</v>
      </c>
      <c r="H60" s="28" t="s">
        <v>24</v>
      </c>
      <c r="I60" s="28" t="s">
        <v>33</v>
      </c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customHeight="1" spans="1:21">
      <c r="A61" s="23">
        <v>60</v>
      </c>
      <c r="B61" s="24"/>
      <c r="C61" s="24"/>
      <c r="D61" s="27" t="s">
        <v>3</v>
      </c>
      <c r="E61" s="33">
        <v>43750</v>
      </c>
      <c r="F61" s="33">
        <v>22500</v>
      </c>
      <c r="G61" s="33">
        <v>37500</v>
      </c>
      <c r="H61" s="33">
        <v>31250</v>
      </c>
      <c r="I61" s="37">
        <v>135000</v>
      </c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customHeight="1" spans="1:21">
      <c r="A62" s="23">
        <v>61</v>
      </c>
      <c r="B62" s="24"/>
      <c r="C62" s="24"/>
      <c r="D62" s="27" t="s">
        <v>37</v>
      </c>
      <c r="E62" s="33">
        <v>48611</v>
      </c>
      <c r="F62" s="33">
        <v>27439</v>
      </c>
      <c r="G62" s="33">
        <v>39474</v>
      </c>
      <c r="H62" s="33">
        <v>36765</v>
      </c>
      <c r="I62" s="37">
        <v>152289</v>
      </c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customHeight="1" spans="1:21">
      <c r="A63" s="23">
        <v>62</v>
      </c>
      <c r="B63" s="24"/>
      <c r="C63" s="24"/>
      <c r="D63" s="27" t="s">
        <v>38</v>
      </c>
      <c r="E63" s="33">
        <v>76265</v>
      </c>
      <c r="F63" s="33">
        <v>32666</v>
      </c>
      <c r="G63" s="33">
        <v>44407</v>
      </c>
      <c r="H63" s="33">
        <v>36765</v>
      </c>
      <c r="I63" s="37">
        <v>190102</v>
      </c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customHeight="1" spans="1:21">
      <c r="A64" s="23">
        <v>63</v>
      </c>
      <c r="B64" s="24"/>
      <c r="C64" s="24"/>
      <c r="D64" s="27" t="s">
        <v>39</v>
      </c>
      <c r="E64" s="33">
        <v>206121</v>
      </c>
      <c r="F64" s="33">
        <v>81664</v>
      </c>
      <c r="G64" s="33">
        <v>63439</v>
      </c>
      <c r="H64" s="33">
        <v>61275</v>
      </c>
      <c r="I64" s="37">
        <v>412498</v>
      </c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customHeight="1" spans="1:21">
      <c r="A65" s="23">
        <v>64</v>
      </c>
      <c r="B65" s="24"/>
      <c r="C65" s="24"/>
      <c r="D65" s="27" t="s">
        <v>40</v>
      </c>
      <c r="E65" s="33">
        <v>530829</v>
      </c>
      <c r="F65" s="33">
        <v>204159</v>
      </c>
      <c r="G65" s="33">
        <v>76433</v>
      </c>
      <c r="H65" s="33">
        <v>61275</v>
      </c>
      <c r="I65" s="37">
        <v>872695</v>
      </c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customHeight="1" spans="1:21">
      <c r="A66" s="23">
        <v>65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customHeight="1" spans="1:21">
      <c r="A67" s="23">
        <v>66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customHeight="1" spans="1:21">
      <c r="A68" s="23">
        <v>67</v>
      </c>
      <c r="B68" s="24"/>
      <c r="C68" s="27" t="s">
        <v>36</v>
      </c>
      <c r="D68" s="26" t="s">
        <v>11</v>
      </c>
      <c r="E68" s="28" t="s">
        <v>65</v>
      </c>
      <c r="F68" s="28" t="s">
        <v>22</v>
      </c>
      <c r="G68" s="28" t="s">
        <v>23</v>
      </c>
      <c r="H68" s="28" t="s">
        <v>24</v>
      </c>
      <c r="I68" s="28" t="s">
        <v>33</v>
      </c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customHeight="1" spans="1:21">
      <c r="A69" s="23">
        <v>68</v>
      </c>
      <c r="B69" s="24"/>
      <c r="C69" s="24"/>
      <c r="D69" s="27" t="s">
        <v>3</v>
      </c>
      <c r="E69" s="27">
        <v>2</v>
      </c>
      <c r="F69" s="27">
        <v>1</v>
      </c>
      <c r="G69" s="27">
        <v>2</v>
      </c>
      <c r="H69" s="27">
        <v>4</v>
      </c>
      <c r="I69" s="28">
        <v>9</v>
      </c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customHeight="1" spans="1:21">
      <c r="A70" s="23">
        <v>69</v>
      </c>
      <c r="B70" s="24"/>
      <c r="C70" s="24"/>
      <c r="D70" s="27" t="s">
        <v>37</v>
      </c>
      <c r="E70" s="27">
        <v>2</v>
      </c>
      <c r="F70" s="27">
        <v>1</v>
      </c>
      <c r="G70" s="27">
        <v>2</v>
      </c>
      <c r="H70" s="27">
        <v>5</v>
      </c>
      <c r="I70" s="28">
        <v>10</v>
      </c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customHeight="1" spans="1:21">
      <c r="A71" s="23">
        <v>70</v>
      </c>
      <c r="B71" s="24"/>
      <c r="C71" s="24"/>
      <c r="D71" s="27" t="s">
        <v>38</v>
      </c>
      <c r="E71" s="27">
        <v>3</v>
      </c>
      <c r="F71" s="27">
        <v>1</v>
      </c>
      <c r="G71" s="27">
        <v>2</v>
      </c>
      <c r="H71" s="27">
        <v>5</v>
      </c>
      <c r="I71" s="28">
        <v>11</v>
      </c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customHeight="1" spans="1:21">
      <c r="A72" s="23">
        <v>71</v>
      </c>
      <c r="B72" s="24"/>
      <c r="C72" s="24"/>
      <c r="D72" s="27" t="s">
        <v>39</v>
      </c>
      <c r="E72" s="27">
        <v>8</v>
      </c>
      <c r="F72" s="27">
        <v>3</v>
      </c>
      <c r="G72" s="27">
        <v>4</v>
      </c>
      <c r="H72" s="27">
        <v>8</v>
      </c>
      <c r="I72" s="28">
        <v>23</v>
      </c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customHeight="1" spans="1:21">
      <c r="A73" s="23">
        <v>72</v>
      </c>
      <c r="B73" s="24"/>
      <c r="C73" s="24"/>
      <c r="D73" s="27" t="s">
        <v>40</v>
      </c>
      <c r="E73" s="27">
        <v>21</v>
      </c>
      <c r="F73" s="27">
        <v>8</v>
      </c>
      <c r="G73" s="27">
        <v>4</v>
      </c>
      <c r="H73" s="27">
        <v>8</v>
      </c>
      <c r="I73" s="28">
        <v>41</v>
      </c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customHeight="1" spans="1:21">
      <c r="A74" s="23">
        <v>73</v>
      </c>
      <c r="B74" s="24"/>
      <c r="C74" s="24"/>
      <c r="D74" s="27" t="s">
        <v>41</v>
      </c>
      <c r="E74" s="27">
        <v>56</v>
      </c>
      <c r="F74" s="27">
        <v>14</v>
      </c>
      <c r="G74" s="27">
        <v>5</v>
      </c>
      <c r="H74" s="27">
        <v>10</v>
      </c>
      <c r="I74" s="28">
        <v>84</v>
      </c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customHeight="1" spans="1:21">
      <c r="A75" s="23">
        <v>74</v>
      </c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customHeight="1" spans="1:21">
      <c r="A76" s="23">
        <v>75</v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customHeight="1" spans="1:21">
      <c r="A77" s="23">
        <v>76</v>
      </c>
      <c r="B77" s="24"/>
      <c r="C77" s="27" t="s">
        <v>42</v>
      </c>
      <c r="D77" s="26" t="s">
        <v>12</v>
      </c>
      <c r="E77" s="28" t="s">
        <v>65</v>
      </c>
      <c r="F77" s="28" t="s">
        <v>22</v>
      </c>
      <c r="G77" s="28" t="s">
        <v>23</v>
      </c>
      <c r="H77" s="28" t="s">
        <v>24</v>
      </c>
      <c r="I77" s="28" t="s">
        <v>33</v>
      </c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customHeight="1" spans="1:21">
      <c r="A78" s="23">
        <v>77</v>
      </c>
      <c r="B78" s="24"/>
      <c r="C78" s="24"/>
      <c r="D78" s="27" t="s">
        <v>3</v>
      </c>
      <c r="E78" s="33">
        <v>43750</v>
      </c>
      <c r="F78" s="33">
        <v>25000</v>
      </c>
      <c r="G78" s="33">
        <v>37500</v>
      </c>
      <c r="H78" s="33">
        <v>31250</v>
      </c>
      <c r="I78" s="37">
        <v>137500</v>
      </c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customHeight="1" spans="1:21">
      <c r="A79" s="23">
        <v>78</v>
      </c>
      <c r="B79" s="24"/>
      <c r="C79" s="24"/>
      <c r="D79" s="27" t="s">
        <v>37</v>
      </c>
      <c r="E79" s="33">
        <v>48611</v>
      </c>
      <c r="F79" s="33">
        <v>30488</v>
      </c>
      <c r="G79" s="33">
        <v>39474</v>
      </c>
      <c r="H79" s="33">
        <v>36765</v>
      </c>
      <c r="I79" s="37">
        <v>155337</v>
      </c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customHeight="1" spans="1:21">
      <c r="A80" s="23">
        <v>79</v>
      </c>
      <c r="B80" s="24"/>
      <c r="C80" s="24"/>
      <c r="D80" s="27" t="s">
        <v>38</v>
      </c>
      <c r="E80" s="33">
        <v>76265</v>
      </c>
      <c r="F80" s="33">
        <v>36295</v>
      </c>
      <c r="G80" s="33">
        <v>44407</v>
      </c>
      <c r="H80" s="33">
        <v>36765</v>
      </c>
      <c r="I80" s="37">
        <v>193732</v>
      </c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customHeight="1" spans="1:21">
      <c r="A81" s="23">
        <v>80</v>
      </c>
      <c r="B81" s="24"/>
      <c r="C81" s="24"/>
      <c r="D81" s="27" t="s">
        <v>39</v>
      </c>
      <c r="E81" s="33">
        <v>206121</v>
      </c>
      <c r="F81" s="33">
        <v>90738</v>
      </c>
      <c r="G81" s="33">
        <v>63439</v>
      </c>
      <c r="H81" s="33">
        <v>61275</v>
      </c>
      <c r="I81" s="37">
        <v>421572</v>
      </c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customHeight="1" spans="1:21">
      <c r="A82" s="23">
        <v>81</v>
      </c>
      <c r="B82" s="24"/>
      <c r="C82" s="24"/>
      <c r="D82" s="27" t="s">
        <v>40</v>
      </c>
      <c r="E82" s="33">
        <v>530829</v>
      </c>
      <c r="F82" s="33">
        <v>226844</v>
      </c>
      <c r="G82" s="33">
        <v>76433</v>
      </c>
      <c r="H82" s="33">
        <v>61275</v>
      </c>
      <c r="I82" s="37">
        <v>895380</v>
      </c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customHeight="1" spans="1:21">
      <c r="A83" s="23">
        <v>82</v>
      </c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customHeight="1" spans="1:21">
      <c r="A84" s="23">
        <v>83</v>
      </c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customHeight="1" spans="1:21">
      <c r="A85" s="23">
        <v>84</v>
      </c>
      <c r="B85" s="24"/>
      <c r="C85" s="27" t="s">
        <v>36</v>
      </c>
      <c r="D85" s="26" t="s">
        <v>12</v>
      </c>
      <c r="E85" s="28" t="s">
        <v>65</v>
      </c>
      <c r="F85" s="28" t="s">
        <v>22</v>
      </c>
      <c r="G85" s="28" t="s">
        <v>23</v>
      </c>
      <c r="H85" s="28" t="s">
        <v>24</v>
      </c>
      <c r="I85" s="28" t="s">
        <v>33</v>
      </c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customHeight="1" spans="1:21">
      <c r="A86" s="23">
        <v>85</v>
      </c>
      <c r="B86" s="24"/>
      <c r="C86" s="24"/>
      <c r="D86" s="27" t="s">
        <v>3</v>
      </c>
      <c r="E86" s="27">
        <v>2</v>
      </c>
      <c r="F86" s="27">
        <v>1</v>
      </c>
      <c r="G86" s="27">
        <v>2</v>
      </c>
      <c r="H86" s="27">
        <v>4</v>
      </c>
      <c r="I86" s="28">
        <v>9</v>
      </c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customHeight="1" spans="1:21">
      <c r="A87" s="23">
        <v>86</v>
      </c>
      <c r="B87" s="24"/>
      <c r="C87" s="24"/>
      <c r="D87" s="27" t="s">
        <v>37</v>
      </c>
      <c r="E87" s="27">
        <v>2</v>
      </c>
      <c r="F87" s="27">
        <v>1</v>
      </c>
      <c r="G87" s="27">
        <v>2</v>
      </c>
      <c r="H87" s="27">
        <v>5</v>
      </c>
      <c r="I87" s="28">
        <v>10</v>
      </c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customHeight="1" spans="1:21">
      <c r="A88" s="23">
        <v>87</v>
      </c>
      <c r="B88" s="24"/>
      <c r="C88" s="24"/>
      <c r="D88" s="27" t="s">
        <v>38</v>
      </c>
      <c r="E88" s="27">
        <v>3</v>
      </c>
      <c r="F88" s="27">
        <v>1</v>
      </c>
      <c r="G88" s="27">
        <v>2</v>
      </c>
      <c r="H88" s="27">
        <v>5</v>
      </c>
      <c r="I88" s="28">
        <v>12</v>
      </c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customHeight="1" spans="1:21">
      <c r="A89" s="23">
        <v>88</v>
      </c>
      <c r="B89" s="24"/>
      <c r="C89" s="24"/>
      <c r="D89" s="27" t="s">
        <v>39</v>
      </c>
      <c r="E89" s="27">
        <v>8</v>
      </c>
      <c r="F89" s="27">
        <v>4</v>
      </c>
      <c r="G89" s="27">
        <v>4</v>
      </c>
      <c r="H89" s="27">
        <v>8</v>
      </c>
      <c r="I89" s="28">
        <v>23</v>
      </c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customHeight="1" spans="1:21">
      <c r="A90" s="23">
        <v>89</v>
      </c>
      <c r="B90" s="24"/>
      <c r="C90" s="24"/>
      <c r="D90" s="27" t="s">
        <v>40</v>
      </c>
      <c r="E90" s="27">
        <v>21</v>
      </c>
      <c r="F90" s="27">
        <v>9</v>
      </c>
      <c r="G90" s="27">
        <v>4</v>
      </c>
      <c r="H90" s="27">
        <v>8</v>
      </c>
      <c r="I90" s="28">
        <v>42</v>
      </c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customHeight="1" spans="1:21">
      <c r="A91" s="23">
        <v>90</v>
      </c>
      <c r="B91" s="24"/>
      <c r="C91" s="24"/>
      <c r="D91" s="27" t="s">
        <v>41</v>
      </c>
      <c r="E91" s="27">
        <v>56</v>
      </c>
      <c r="F91" s="27">
        <v>15</v>
      </c>
      <c r="G91" s="27">
        <v>5</v>
      </c>
      <c r="H91" s="27">
        <v>10</v>
      </c>
      <c r="I91" s="28">
        <v>86</v>
      </c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customHeight="1" spans="1:21">
      <c r="A92" s="23">
        <v>91</v>
      </c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customHeight="1" spans="1:21">
      <c r="A93" s="23">
        <v>92</v>
      </c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customHeight="1" spans="1:21">
      <c r="A94" s="23">
        <v>93</v>
      </c>
      <c r="B94" s="24"/>
      <c r="C94" s="27" t="s">
        <v>42</v>
      </c>
      <c r="D94" s="26" t="s">
        <v>13</v>
      </c>
      <c r="E94" s="28" t="s">
        <v>65</v>
      </c>
      <c r="F94" s="28" t="s">
        <v>22</v>
      </c>
      <c r="G94" s="28" t="s">
        <v>23</v>
      </c>
      <c r="H94" s="28" t="s">
        <v>24</v>
      </c>
      <c r="I94" s="28" t="s">
        <v>33</v>
      </c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customHeight="1" spans="1:21">
      <c r="A95" s="23">
        <v>94</v>
      </c>
      <c r="B95" s="24"/>
      <c r="C95" s="24"/>
      <c r="D95" s="27" t="s">
        <v>3</v>
      </c>
      <c r="E95" s="33">
        <v>52500</v>
      </c>
      <c r="F95" s="33">
        <v>24500</v>
      </c>
      <c r="G95" s="33">
        <v>45000</v>
      </c>
      <c r="H95" s="33">
        <v>37500</v>
      </c>
      <c r="I95" s="37">
        <v>159500</v>
      </c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customHeight="1" spans="1:21">
      <c r="A96" s="23">
        <v>95</v>
      </c>
      <c r="B96" s="24"/>
      <c r="C96" s="24"/>
      <c r="D96" s="27" t="s">
        <v>37</v>
      </c>
      <c r="E96" s="33">
        <v>58333</v>
      </c>
      <c r="F96" s="33">
        <v>29878</v>
      </c>
      <c r="G96" s="33">
        <v>47368</v>
      </c>
      <c r="H96" s="33">
        <v>44118</v>
      </c>
      <c r="I96" s="37">
        <v>179697</v>
      </c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customHeight="1" spans="1:21">
      <c r="A97" s="23">
        <v>96</v>
      </c>
      <c r="B97" s="24"/>
      <c r="C97" s="24"/>
      <c r="D97" s="27" t="s">
        <v>38</v>
      </c>
      <c r="E97" s="33">
        <v>91518</v>
      </c>
      <c r="F97" s="33">
        <v>35569</v>
      </c>
      <c r="G97" s="33">
        <v>53289</v>
      </c>
      <c r="H97" s="33">
        <v>44118</v>
      </c>
      <c r="I97" s="37">
        <v>224493</v>
      </c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customHeight="1" spans="1:21">
      <c r="A98" s="23">
        <v>97</v>
      </c>
      <c r="B98" s="24"/>
      <c r="C98" s="24"/>
      <c r="D98" s="27" t="s">
        <v>39</v>
      </c>
      <c r="E98" s="33">
        <v>247345</v>
      </c>
      <c r="F98" s="33">
        <v>88923</v>
      </c>
      <c r="G98" s="33">
        <v>76127</v>
      </c>
      <c r="H98" s="33">
        <v>73529</v>
      </c>
      <c r="I98" s="37">
        <v>485924</v>
      </c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customHeight="1" spans="1:21">
      <c r="A99" s="23">
        <v>98</v>
      </c>
      <c r="B99" s="24"/>
      <c r="C99" s="24"/>
      <c r="D99" s="27" t="s">
        <v>40</v>
      </c>
      <c r="E99" s="33">
        <v>636994</v>
      </c>
      <c r="F99" s="33">
        <v>222307</v>
      </c>
      <c r="G99" s="33">
        <v>91719</v>
      </c>
      <c r="H99" s="33">
        <v>73529</v>
      </c>
      <c r="I99" s="37">
        <v>1024550</v>
      </c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customHeight="1" spans="1:21">
      <c r="A100" s="23">
        <v>99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customHeight="1" spans="1:21">
      <c r="A101" s="23">
        <v>100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customHeight="1" spans="1:21">
      <c r="A102" s="23">
        <v>101</v>
      </c>
      <c r="B102" s="24"/>
      <c r="C102" s="27" t="s">
        <v>36</v>
      </c>
      <c r="D102" s="26" t="s">
        <v>13</v>
      </c>
      <c r="E102" s="28" t="s">
        <v>65</v>
      </c>
      <c r="F102" s="28" t="s">
        <v>22</v>
      </c>
      <c r="G102" s="28" t="s">
        <v>23</v>
      </c>
      <c r="H102" s="28" t="s">
        <v>24</v>
      </c>
      <c r="I102" s="28" t="s">
        <v>33</v>
      </c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customHeight="1" spans="1:21">
      <c r="A103" s="23">
        <v>102</v>
      </c>
      <c r="B103" s="24"/>
      <c r="C103" s="24"/>
      <c r="D103" s="27" t="s">
        <v>3</v>
      </c>
      <c r="E103" s="27">
        <v>2</v>
      </c>
      <c r="F103" s="27">
        <v>1</v>
      </c>
      <c r="G103" s="27">
        <v>3</v>
      </c>
      <c r="H103" s="27">
        <v>5</v>
      </c>
      <c r="I103" s="28">
        <v>10</v>
      </c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customHeight="1" spans="1:21">
      <c r="A104" s="23">
        <v>103</v>
      </c>
      <c r="B104" s="24"/>
      <c r="C104" s="24"/>
      <c r="D104" s="27" t="s">
        <v>37</v>
      </c>
      <c r="E104" s="27">
        <v>2</v>
      </c>
      <c r="F104" s="27">
        <v>1</v>
      </c>
      <c r="G104" s="27">
        <v>3</v>
      </c>
      <c r="H104" s="27">
        <v>6</v>
      </c>
      <c r="I104" s="28">
        <v>12</v>
      </c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customHeight="1" spans="1:21">
      <c r="A105" s="23">
        <v>104</v>
      </c>
      <c r="B105" s="24"/>
      <c r="C105" s="24"/>
      <c r="D105" s="27" t="s">
        <v>38</v>
      </c>
      <c r="E105" s="27">
        <v>4</v>
      </c>
      <c r="F105" s="27">
        <v>1</v>
      </c>
      <c r="G105" s="27">
        <v>3</v>
      </c>
      <c r="H105" s="27">
        <v>6</v>
      </c>
      <c r="I105" s="28">
        <v>14</v>
      </c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customHeight="1" spans="1:21">
      <c r="A106" s="23">
        <v>105</v>
      </c>
      <c r="B106" s="24"/>
      <c r="C106" s="24"/>
      <c r="D106" s="27" t="s">
        <v>39</v>
      </c>
      <c r="E106" s="27">
        <v>10</v>
      </c>
      <c r="F106" s="27">
        <v>4</v>
      </c>
      <c r="G106" s="27">
        <v>4</v>
      </c>
      <c r="H106" s="27">
        <v>9</v>
      </c>
      <c r="I106" s="28">
        <v>27</v>
      </c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customHeight="1" spans="1:21">
      <c r="A107" s="23">
        <v>106</v>
      </c>
      <c r="B107" s="24"/>
      <c r="C107" s="24"/>
      <c r="D107" s="27" t="s">
        <v>40</v>
      </c>
      <c r="E107" s="27">
        <v>25</v>
      </c>
      <c r="F107" s="27">
        <v>9</v>
      </c>
      <c r="G107" s="27">
        <v>5</v>
      </c>
      <c r="H107" s="27">
        <v>9</v>
      </c>
      <c r="I107" s="28">
        <v>49</v>
      </c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customHeight="1" spans="1:21">
      <c r="A108" s="23">
        <v>107</v>
      </c>
      <c r="B108" s="24"/>
      <c r="C108" s="24"/>
      <c r="D108" s="27" t="s">
        <v>41</v>
      </c>
      <c r="E108" s="27">
        <v>67</v>
      </c>
      <c r="F108" s="27">
        <v>15</v>
      </c>
      <c r="G108" s="27">
        <v>6</v>
      </c>
      <c r="H108" s="27">
        <v>12</v>
      </c>
      <c r="I108" s="28">
        <v>100</v>
      </c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customHeight="1" spans="1:21">
      <c r="A109" s="23">
        <v>108</v>
      </c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customHeight="1" spans="1:21">
      <c r="A110" s="23">
        <v>109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customHeight="1" spans="1:21">
      <c r="A111" s="23">
        <v>110</v>
      </c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customHeight="1" spans="1:9">
      <c r="A112" s="23">
        <v>111</v>
      </c>
      <c r="B112" s="24"/>
      <c r="C112" s="24"/>
      <c r="D112" s="24"/>
      <c r="E112" s="24"/>
      <c r="F112" s="24"/>
      <c r="G112" s="24"/>
      <c r="H112" s="24"/>
      <c r="I112" s="24"/>
    </row>
    <row r="113" customHeight="1" spans="1:1">
      <c r="A113" s="38"/>
    </row>
  </sheetData>
  <mergeCells count="3">
    <mergeCell ref="D2:I2"/>
    <mergeCell ref="D15:I15"/>
    <mergeCell ref="D40:I4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2"/>
  <sheetViews>
    <sheetView workbookViewId="0">
      <selection activeCell="A1" sqref="A1"/>
    </sheetView>
  </sheetViews>
  <sheetFormatPr defaultColWidth="12.6339285714286" defaultRowHeight="15.75" customHeight="1"/>
  <cols>
    <col min="4" max="4" width="17" customWidth="1"/>
    <col min="5" max="5" width="15.25" customWidth="1"/>
  </cols>
  <sheetData>
    <row r="1" customHeight="1" spans="1:26">
      <c r="A1" s="1"/>
      <c r="B1" s="1"/>
      <c r="C1" s="1"/>
      <c r="D1" s="2" t="s">
        <v>90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Height="1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Height="1" spans="1:26">
      <c r="A3" s="1"/>
      <c r="B3" s="1"/>
      <c r="C3" s="1"/>
      <c r="D3" s="3" t="s">
        <v>64</v>
      </c>
      <c r="E3" s="8" t="s">
        <v>10</v>
      </c>
      <c r="F3" s="8" t="s">
        <v>11</v>
      </c>
      <c r="G3" s="8" t="s">
        <v>12</v>
      </c>
      <c r="H3" s="8" t="s">
        <v>13</v>
      </c>
      <c r="I3" s="8" t="s">
        <v>33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Height="1" spans="1:26">
      <c r="A4" s="1"/>
      <c r="B4" s="1"/>
      <c r="C4" s="1"/>
      <c r="D4" s="4" t="s">
        <v>42</v>
      </c>
      <c r="E4" s="15">
        <v>110000</v>
      </c>
      <c r="F4" s="15">
        <v>130000</v>
      </c>
      <c r="G4" s="15">
        <v>160000</v>
      </c>
      <c r="H4" s="15">
        <v>200000</v>
      </c>
      <c r="I4" s="20">
        <f>SUM(E4:H4)</f>
        <v>600000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Height="1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Height="1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Height="1" spans="1:26">
      <c r="A7" s="1"/>
      <c r="B7" s="1"/>
      <c r="C7" s="5"/>
      <c r="D7" s="3" t="s">
        <v>20</v>
      </c>
      <c r="E7" s="6" t="s">
        <v>65</v>
      </c>
      <c r="F7" s="6" t="s">
        <v>22</v>
      </c>
      <c r="G7" s="6" t="s">
        <v>23</v>
      </c>
      <c r="H7" s="6" t="s">
        <v>24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Height="1" spans="1:26">
      <c r="A8" s="1"/>
      <c r="B8" s="1"/>
      <c r="C8" s="1"/>
      <c r="D8" s="6" t="s">
        <v>26</v>
      </c>
      <c r="E8" s="16">
        <v>0.38</v>
      </c>
      <c r="F8" s="16">
        <v>0.44</v>
      </c>
      <c r="G8" s="16">
        <v>0.4</v>
      </c>
      <c r="H8" s="16">
        <v>0.5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Height="1" spans="1:26">
      <c r="A9" s="1"/>
      <c r="B9" s="1"/>
      <c r="C9" s="1"/>
      <c r="D9" s="6" t="s">
        <v>27</v>
      </c>
      <c r="E9" s="16">
        <v>0.3883</v>
      </c>
      <c r="F9" s="16">
        <v>0.35</v>
      </c>
      <c r="G9" s="16">
        <v>0.53</v>
      </c>
      <c r="H9" s="16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Height="1" spans="1:26">
      <c r="A10" s="1"/>
      <c r="B10" s="1"/>
      <c r="C10" s="1"/>
      <c r="D10" s="6" t="s">
        <v>28</v>
      </c>
      <c r="E10" s="16">
        <v>0.37</v>
      </c>
      <c r="F10" s="16">
        <v>0.5</v>
      </c>
      <c r="G10" s="16">
        <v>0.3</v>
      </c>
      <c r="H10" s="16">
        <v>0.3077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Height="1" spans="1:26">
      <c r="A11" s="1"/>
      <c r="B11" s="1"/>
      <c r="C11" s="1"/>
      <c r="D11" s="6" t="s">
        <v>29</v>
      </c>
      <c r="E11" s="16">
        <v>0.6374</v>
      </c>
      <c r="F11" s="16">
        <v>0.7895</v>
      </c>
      <c r="G11" s="16">
        <v>0.8889</v>
      </c>
      <c r="H11" s="16">
        <v>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Height="1" spans="1:26">
      <c r="A12" s="1"/>
      <c r="B12" s="1"/>
      <c r="C12" s="1"/>
      <c r="D12" s="6" t="s">
        <v>30</v>
      </c>
      <c r="E12" s="16">
        <v>1</v>
      </c>
      <c r="F12" s="16">
        <v>0.8667</v>
      </c>
      <c r="G12" s="16">
        <v>1</v>
      </c>
      <c r="H12" s="16">
        <v>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Height="1" spans="1:26">
      <c r="A13" s="1"/>
      <c r="B13" s="1"/>
      <c r="C13" s="1"/>
      <c r="D13" s="6" t="s">
        <v>31</v>
      </c>
      <c r="E13" s="17">
        <f t="shared" ref="E13:I13" si="0">E8*E9*E10*E11*E12</f>
        <v>0.034798840252</v>
      </c>
      <c r="F13" s="17">
        <f t="shared" si="0"/>
        <v>0.05268799305</v>
      </c>
      <c r="G13" s="17">
        <f t="shared" si="0"/>
        <v>0.05653404</v>
      </c>
      <c r="H13" s="17">
        <f t="shared" si="0"/>
        <v>0.15385</v>
      </c>
      <c r="I13" s="17">
        <f t="shared" si="0"/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Height="1" spans="1:26">
      <c r="A14" s="1"/>
      <c r="B14" s="1"/>
      <c r="C14" s="1"/>
      <c r="D14" s="7" t="s">
        <v>14</v>
      </c>
      <c r="J14" s="13">
        <f>E17/I17</f>
        <v>0.333333333333333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Height="1" spans="1:26">
      <c r="A15" s="1"/>
      <c r="B15" s="1"/>
      <c r="C15" s="1"/>
      <c r="D15" s="1"/>
      <c r="E15" s="1"/>
      <c r="F15" s="1"/>
      <c r="G15" s="1"/>
      <c r="H15" s="1"/>
      <c r="I15" s="1"/>
      <c r="J15" s="13">
        <f>F17/I17</f>
        <v>0.25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Height="1" spans="1:26">
      <c r="A16" s="1"/>
      <c r="B16" s="1"/>
      <c r="C16" s="1"/>
      <c r="D16" s="3" t="s">
        <v>32</v>
      </c>
      <c r="E16" s="6" t="s">
        <v>65</v>
      </c>
      <c r="F16" s="6" t="s">
        <v>22</v>
      </c>
      <c r="G16" s="6" t="s">
        <v>23</v>
      </c>
      <c r="H16" s="6" t="s">
        <v>24</v>
      </c>
      <c r="I16" s="8" t="s">
        <v>33</v>
      </c>
      <c r="J16" s="13">
        <f>G17/I17</f>
        <v>0.25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Height="1" spans="1:26">
      <c r="A17" s="1"/>
      <c r="B17" s="1"/>
      <c r="C17" s="1"/>
      <c r="D17" s="8" t="s">
        <v>14</v>
      </c>
      <c r="E17" s="15">
        <v>200000</v>
      </c>
      <c r="F17" s="15">
        <v>150000</v>
      </c>
      <c r="G17" s="15">
        <v>150000</v>
      </c>
      <c r="H17" s="15">
        <v>100000</v>
      </c>
      <c r="I17" s="20">
        <f>SUM(E17:H17)</f>
        <v>600000</v>
      </c>
      <c r="J17" s="13">
        <f>H17/I17</f>
        <v>0.166666666666667</v>
      </c>
      <c r="K17" s="1"/>
      <c r="L17" s="19">
        <f>F17/4/28%</f>
        <v>133928.571428571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Height="1" spans="1:26">
      <c r="A18" s="1"/>
      <c r="B18" s="1"/>
      <c r="C18" s="1"/>
      <c r="D18" s="4" t="s">
        <v>35</v>
      </c>
      <c r="E18" s="15">
        <v>30000</v>
      </c>
      <c r="F18" s="15">
        <v>21000</v>
      </c>
      <c r="G18" s="15">
        <v>32000</v>
      </c>
      <c r="H18" s="15">
        <v>8000</v>
      </c>
      <c r="I18" s="2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Height="1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Height="1" spans="1:26">
      <c r="A20" s="1"/>
      <c r="B20" s="1"/>
      <c r="C20" s="1"/>
      <c r="D20" s="3" t="s">
        <v>14</v>
      </c>
      <c r="E20" s="6" t="s">
        <v>65</v>
      </c>
      <c r="F20" s="6" t="s">
        <v>22</v>
      </c>
      <c r="G20" s="6" t="s">
        <v>23</v>
      </c>
      <c r="H20" s="6" t="s">
        <v>24</v>
      </c>
      <c r="I20" s="8" t="s">
        <v>33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Height="1" spans="1:26">
      <c r="A21" s="1"/>
      <c r="B21" s="1"/>
      <c r="C21" s="9" t="s">
        <v>36</v>
      </c>
      <c r="D21" s="4" t="s">
        <v>3</v>
      </c>
      <c r="E21" s="18">
        <f t="shared" ref="E21:H21" si="1">E17/E18</f>
        <v>6.66666666666667</v>
      </c>
      <c r="F21" s="18">
        <f t="shared" si="1"/>
        <v>7.14285714285714</v>
      </c>
      <c r="G21" s="18">
        <f t="shared" si="1"/>
        <v>4.6875</v>
      </c>
      <c r="H21" s="18">
        <f t="shared" si="1"/>
        <v>12.5</v>
      </c>
      <c r="I21" s="22">
        <f t="shared" ref="I21:I26" si="2">SUM(E21:H21)</f>
        <v>30.9970238095238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Height="1" spans="1:26">
      <c r="A22" s="1"/>
      <c r="B22" s="1"/>
      <c r="C22" s="1"/>
      <c r="D22" s="4" t="s">
        <v>37</v>
      </c>
      <c r="E22" s="18">
        <f t="shared" ref="E22:H22" si="3">E31/E18</f>
        <v>6.66666666666667</v>
      </c>
      <c r="F22" s="18">
        <f t="shared" si="3"/>
        <v>8.24144126324812</v>
      </c>
      <c r="G22" s="18">
        <f t="shared" si="3"/>
        <v>4.6875</v>
      </c>
      <c r="H22" s="18">
        <f t="shared" si="3"/>
        <v>12.5</v>
      </c>
      <c r="I22" s="22">
        <f t="shared" si="2"/>
        <v>32.0956079299148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Height="1" spans="1:26">
      <c r="A23" s="1"/>
      <c r="B23" s="1"/>
      <c r="C23" s="1"/>
      <c r="D23" s="4" t="s">
        <v>38</v>
      </c>
      <c r="E23" s="18">
        <f t="shared" ref="E23:H23" si="4">E32/E18</f>
        <v>10.4591569919464</v>
      </c>
      <c r="F23" s="18">
        <f t="shared" si="4"/>
        <v>10.4388109730818</v>
      </c>
      <c r="G23" s="18">
        <f t="shared" si="4"/>
        <v>5.27337158285521</v>
      </c>
      <c r="H23" s="18">
        <f t="shared" si="4"/>
        <v>12.5</v>
      </c>
      <c r="I23" s="22">
        <f t="shared" si="2"/>
        <v>38.6713395478835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Height="1" spans="1:26">
      <c r="A24" s="1"/>
      <c r="B24" s="1"/>
      <c r="C24" s="1"/>
      <c r="D24" s="4" t="s">
        <v>39</v>
      </c>
      <c r="E24" s="18">
        <f t="shared" ref="E24:H24" si="5">E33/E18</f>
        <v>28.2679918701255</v>
      </c>
      <c r="F24" s="18">
        <f t="shared" si="5"/>
        <v>20.8776219461637</v>
      </c>
      <c r="G24" s="18">
        <f t="shared" si="5"/>
        <v>17.577905276184</v>
      </c>
      <c r="H24" s="18">
        <f t="shared" si="5"/>
        <v>40.62398440039</v>
      </c>
      <c r="I24" s="22">
        <f t="shared" si="2"/>
        <v>107.347503492863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Height="1" spans="1:26">
      <c r="A25" s="1"/>
      <c r="B25" s="1"/>
      <c r="C25" s="1"/>
      <c r="D25" s="4" t="s">
        <v>40</v>
      </c>
      <c r="E25" s="18">
        <f t="shared" ref="E25:H25" si="6">E34/E18</f>
        <v>72.7993609840987</v>
      </c>
      <c r="F25" s="18">
        <f t="shared" si="6"/>
        <v>59.6503484176106</v>
      </c>
      <c r="G25" s="18">
        <f t="shared" si="6"/>
        <v>33.165859011668</v>
      </c>
      <c r="H25" s="18">
        <f t="shared" si="6"/>
        <v>40.62398440039</v>
      </c>
      <c r="I25" s="22">
        <f t="shared" si="2"/>
        <v>206.239552813767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Height="1" spans="1:26">
      <c r="A26" s="1"/>
      <c r="B26" s="1"/>
      <c r="C26" s="1"/>
      <c r="D26" s="4" t="s">
        <v>41</v>
      </c>
      <c r="E26" s="18">
        <f t="shared" ref="E26:H26" si="7">E25/E8</f>
        <v>191.577265747628</v>
      </c>
      <c r="F26" s="18">
        <f t="shared" si="7"/>
        <v>135.568973676388</v>
      </c>
      <c r="G26" s="18">
        <f t="shared" si="7"/>
        <v>82.91464752917</v>
      </c>
      <c r="H26" s="18">
        <f t="shared" si="7"/>
        <v>81.24796880078</v>
      </c>
      <c r="I26" s="22">
        <f t="shared" si="2"/>
        <v>491.308855753966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Height="1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Height="1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Height="1" spans="1:26">
      <c r="A29" s="1"/>
      <c r="B29" s="1"/>
      <c r="C29" s="1"/>
      <c r="D29" s="3" t="s">
        <v>14</v>
      </c>
      <c r="E29" s="6" t="s">
        <v>65</v>
      </c>
      <c r="F29" s="6" t="s">
        <v>22</v>
      </c>
      <c r="G29" s="6" t="s">
        <v>23</v>
      </c>
      <c r="H29" s="6" t="s">
        <v>24</v>
      </c>
      <c r="I29" s="8" t="s">
        <v>33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Height="1" spans="1:26">
      <c r="A30" s="1"/>
      <c r="B30" s="1"/>
      <c r="C30" s="9" t="s">
        <v>42</v>
      </c>
      <c r="D30" s="4" t="s">
        <v>3</v>
      </c>
      <c r="E30" s="15">
        <v>200000</v>
      </c>
      <c r="F30" s="15">
        <v>150000</v>
      </c>
      <c r="G30" s="15">
        <v>150000</v>
      </c>
      <c r="H30" s="15">
        <v>100000</v>
      </c>
      <c r="I30" s="20">
        <f t="shared" ref="I30:I34" si="8">SUM(E30:H30)</f>
        <v>600000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Height="1" spans="1:26">
      <c r="A31" s="1"/>
      <c r="B31" s="1"/>
      <c r="C31" s="1"/>
      <c r="D31" s="4" t="s">
        <v>37</v>
      </c>
      <c r="E31" s="15">
        <f t="shared" ref="E31:H31" si="9">E17/E12</f>
        <v>200000</v>
      </c>
      <c r="F31" s="15">
        <f t="shared" si="9"/>
        <v>173070.26652821</v>
      </c>
      <c r="G31" s="15">
        <f t="shared" si="9"/>
        <v>150000</v>
      </c>
      <c r="H31" s="15">
        <f t="shared" si="9"/>
        <v>100000</v>
      </c>
      <c r="I31" s="20">
        <f t="shared" si="8"/>
        <v>623070.26652821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Height="1" spans="1:26">
      <c r="A32" s="1"/>
      <c r="B32" s="1"/>
      <c r="C32" s="1"/>
      <c r="D32" s="4" t="s">
        <v>38</v>
      </c>
      <c r="E32" s="15">
        <f t="shared" ref="E32:H32" si="10">E31/E11</f>
        <v>313774.709758393</v>
      </c>
      <c r="F32" s="15">
        <f t="shared" si="10"/>
        <v>219215.030434719</v>
      </c>
      <c r="G32" s="15">
        <f t="shared" si="10"/>
        <v>168747.890651367</v>
      </c>
      <c r="H32" s="15">
        <f t="shared" si="10"/>
        <v>100000</v>
      </c>
      <c r="I32" s="20">
        <f t="shared" si="8"/>
        <v>801737.630844479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Height="1" spans="1:26">
      <c r="A33" s="1"/>
      <c r="B33" s="1"/>
      <c r="C33" s="1"/>
      <c r="D33" s="4" t="s">
        <v>39</v>
      </c>
      <c r="E33" s="15">
        <f t="shared" ref="E33:H33" si="11">E32/E10</f>
        <v>848039.756103766</v>
      </c>
      <c r="F33" s="15">
        <f t="shared" si="11"/>
        <v>438430.060869438</v>
      </c>
      <c r="G33" s="15">
        <f t="shared" si="11"/>
        <v>562492.968837889</v>
      </c>
      <c r="H33" s="15">
        <f t="shared" si="11"/>
        <v>324991.87520312</v>
      </c>
      <c r="I33" s="20">
        <f t="shared" si="8"/>
        <v>2173954.66101421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Height="1" spans="1:26">
      <c r="A34" s="1"/>
      <c r="B34" s="1"/>
      <c r="C34" s="1"/>
      <c r="D34" s="4" t="s">
        <v>40</v>
      </c>
      <c r="E34" s="15">
        <f t="shared" ref="E34:H34" si="12">E33/E9</f>
        <v>2183980.82952296</v>
      </c>
      <c r="F34" s="15">
        <f t="shared" si="12"/>
        <v>1252657.31676982</v>
      </c>
      <c r="G34" s="15">
        <f t="shared" si="12"/>
        <v>1061307.48837338</v>
      </c>
      <c r="H34" s="15">
        <f t="shared" si="12"/>
        <v>324991.87520312</v>
      </c>
      <c r="I34" s="20">
        <f t="shared" si="8"/>
        <v>4822937.50986928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Height="1" spans="1:26">
      <c r="A35" s="1"/>
      <c r="B35" s="1"/>
      <c r="C35" s="1"/>
      <c r="D35" s="1"/>
      <c r="E35" s="19"/>
      <c r="F35" s="19"/>
      <c r="G35" s="19"/>
      <c r="H35" s="19"/>
      <c r="I35" s="1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Height="1" spans="1:26">
      <c r="A36" s="1"/>
      <c r="B36" s="1"/>
      <c r="C36" s="1"/>
      <c r="D36" s="10"/>
      <c r="E36" s="10"/>
      <c r="F36" s="10"/>
      <c r="G36" s="10"/>
      <c r="H36" s="10"/>
      <c r="I36" s="1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Height="1" spans="1:26">
      <c r="A37" s="1"/>
      <c r="B37" s="1"/>
      <c r="C37" s="1"/>
      <c r="D37" s="11"/>
      <c r="E37" s="11"/>
      <c r="F37" s="11"/>
      <c r="G37" s="11"/>
      <c r="H37" s="11"/>
      <c r="I37" s="1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Height="1" spans="1:26">
      <c r="A38" s="1"/>
      <c r="B38" s="1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Height="1" spans="1:26">
      <c r="A39" s="1"/>
      <c r="B39" s="12"/>
      <c r="C39" s="1"/>
      <c r="D39" s="7" t="s">
        <v>58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Height="1" spans="1:26">
      <c r="A40" s="1"/>
      <c r="B40" s="13">
        <v>0.333333333333333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Height="1" spans="1:26">
      <c r="A41" s="1"/>
      <c r="B41" s="13">
        <v>0.25</v>
      </c>
      <c r="C41" s="14" t="s">
        <v>42</v>
      </c>
      <c r="D41" s="3" t="s">
        <v>10</v>
      </c>
      <c r="E41" s="6" t="s">
        <v>65</v>
      </c>
      <c r="F41" s="6" t="s">
        <v>22</v>
      </c>
      <c r="G41" s="6" t="s">
        <v>23</v>
      </c>
      <c r="H41" s="6" t="s">
        <v>24</v>
      </c>
      <c r="I41" s="8" t="s">
        <v>33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Height="1" spans="1:26">
      <c r="A42" s="14">
        <v>110000</v>
      </c>
      <c r="B42" s="13">
        <v>0.25</v>
      </c>
      <c r="C42" s="14" t="s">
        <v>10</v>
      </c>
      <c r="D42" s="4" t="s">
        <v>3</v>
      </c>
      <c r="E42" s="15">
        <f>A42*B40</f>
        <v>36666.6666666667</v>
      </c>
      <c r="F42" s="15">
        <f>A42*B41</f>
        <v>27500</v>
      </c>
      <c r="G42" s="15">
        <f>A42*B42</f>
        <v>27500</v>
      </c>
      <c r="H42" s="15">
        <f>A42*B43</f>
        <v>18333.3333333333</v>
      </c>
      <c r="I42" s="20">
        <f t="shared" ref="I42:I46" si="13">SUM(E42:H42)</f>
        <v>110000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Height="1" spans="1:26">
      <c r="A43" s="1"/>
      <c r="B43" s="13">
        <v>0.166666666666667</v>
      </c>
      <c r="C43" s="1"/>
      <c r="D43" s="4" t="s">
        <v>37</v>
      </c>
      <c r="E43" s="15">
        <f t="shared" ref="E43:H43" si="14">E42/E12</f>
        <v>36666.6666666667</v>
      </c>
      <c r="F43" s="15">
        <f t="shared" si="14"/>
        <v>31729.5488635052</v>
      </c>
      <c r="G43" s="15">
        <f t="shared" si="14"/>
        <v>27500</v>
      </c>
      <c r="H43" s="15">
        <f t="shared" si="14"/>
        <v>18333.3333333333</v>
      </c>
      <c r="I43" s="20">
        <f t="shared" si="13"/>
        <v>114229.548863505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Height="1" spans="1:26">
      <c r="A44" s="1"/>
      <c r="B44" s="1"/>
      <c r="C44" s="1"/>
      <c r="D44" s="4" t="s">
        <v>38</v>
      </c>
      <c r="E44" s="15">
        <f t="shared" ref="E44:H44" si="15">E43/E11</f>
        <v>57525.3634557055</v>
      </c>
      <c r="F44" s="15">
        <f t="shared" si="15"/>
        <v>40189.4222463651</v>
      </c>
      <c r="G44" s="15">
        <f t="shared" si="15"/>
        <v>30937.1132860839</v>
      </c>
      <c r="H44" s="15">
        <f t="shared" si="15"/>
        <v>18333.3333333333</v>
      </c>
      <c r="I44" s="20">
        <f t="shared" si="13"/>
        <v>146985.232321488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Height="1" spans="1:26">
      <c r="A45" s="1"/>
      <c r="B45" s="1"/>
      <c r="C45" s="1"/>
      <c r="D45" s="4" t="s">
        <v>39</v>
      </c>
      <c r="E45" s="15">
        <f t="shared" ref="E45:H45" si="16">E44/E10</f>
        <v>155473.95528569</v>
      </c>
      <c r="F45" s="15">
        <f t="shared" si="16"/>
        <v>80378.8444927302</v>
      </c>
      <c r="G45" s="15">
        <f t="shared" si="16"/>
        <v>103123.710953613</v>
      </c>
      <c r="H45" s="15">
        <f t="shared" si="16"/>
        <v>59581.8437872387</v>
      </c>
      <c r="I45" s="20">
        <f t="shared" si="13"/>
        <v>398558.354519272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Height="1" spans="1:26">
      <c r="A46" s="1"/>
      <c r="B46" s="1"/>
      <c r="C46" s="1"/>
      <c r="D46" s="4" t="s">
        <v>40</v>
      </c>
      <c r="E46" s="15">
        <f t="shared" ref="E46:H46" si="17">E45/E9</f>
        <v>400396.485412543</v>
      </c>
      <c r="F46" s="15">
        <f t="shared" si="17"/>
        <v>229653.841407801</v>
      </c>
      <c r="G46" s="15">
        <f t="shared" si="17"/>
        <v>194573.039535119</v>
      </c>
      <c r="H46" s="15">
        <f t="shared" si="17"/>
        <v>59581.8437872387</v>
      </c>
      <c r="I46" s="20">
        <f t="shared" si="13"/>
        <v>884205.210142701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Height="1" spans="1:26">
      <c r="A49" s="1"/>
      <c r="B49" s="1"/>
      <c r="C49" s="14" t="s">
        <v>36</v>
      </c>
      <c r="D49" s="3" t="s">
        <v>10</v>
      </c>
      <c r="E49" s="6" t="s">
        <v>65</v>
      </c>
      <c r="F49" s="6" t="s">
        <v>22</v>
      </c>
      <c r="G49" s="6" t="s">
        <v>23</v>
      </c>
      <c r="H49" s="6" t="s">
        <v>24</v>
      </c>
      <c r="I49" s="8" t="s">
        <v>33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Height="1" spans="1:26">
      <c r="A50" s="1"/>
      <c r="B50" s="1"/>
      <c r="C50" s="14" t="s">
        <v>10</v>
      </c>
      <c r="D50" s="4" t="s">
        <v>3</v>
      </c>
      <c r="E50" s="18">
        <f t="shared" ref="E50:H50" si="18">E42/E18</f>
        <v>1.22222222222222</v>
      </c>
      <c r="F50" s="18">
        <f t="shared" si="18"/>
        <v>1.30952380952381</v>
      </c>
      <c r="G50" s="18">
        <f t="shared" si="18"/>
        <v>0.859375</v>
      </c>
      <c r="H50" s="18">
        <f t="shared" si="18"/>
        <v>2.29166666666667</v>
      </c>
      <c r="I50" s="22">
        <f t="shared" ref="I50:I55" si="19">SUM(E50:H50)</f>
        <v>5.6827876984127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Height="1" spans="1:26">
      <c r="A51" s="1"/>
      <c r="B51" s="1"/>
      <c r="C51" s="1"/>
      <c r="D51" s="4" t="s">
        <v>37</v>
      </c>
      <c r="E51" s="18">
        <f t="shared" ref="E51:H51" si="20">E43/E18</f>
        <v>1.22222222222222</v>
      </c>
      <c r="F51" s="18">
        <f t="shared" si="20"/>
        <v>1.51093089826215</v>
      </c>
      <c r="G51" s="18">
        <f t="shared" si="20"/>
        <v>0.859375</v>
      </c>
      <c r="H51" s="18">
        <f t="shared" si="20"/>
        <v>2.29166666666667</v>
      </c>
      <c r="I51" s="22">
        <f t="shared" si="19"/>
        <v>5.88419478715104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Height="1" spans="1:26">
      <c r="A52" s="1"/>
      <c r="B52" s="1"/>
      <c r="C52" s="1"/>
      <c r="D52" s="4" t="s">
        <v>38</v>
      </c>
      <c r="E52" s="18">
        <f t="shared" ref="E52:H52" si="21">E44/E18</f>
        <v>1.91751211519018</v>
      </c>
      <c r="F52" s="18">
        <f t="shared" si="21"/>
        <v>1.91378201173167</v>
      </c>
      <c r="G52" s="18">
        <f t="shared" si="21"/>
        <v>0.966784790190123</v>
      </c>
      <c r="H52" s="18">
        <f t="shared" si="21"/>
        <v>2.29166666666667</v>
      </c>
      <c r="I52" s="22">
        <f t="shared" si="19"/>
        <v>7.08974558377864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Height="1" spans="1:26">
      <c r="A53" s="1"/>
      <c r="B53" s="1"/>
      <c r="C53" s="1"/>
      <c r="D53" s="4" t="s">
        <v>39</v>
      </c>
      <c r="E53" s="18">
        <f t="shared" ref="E53:H53" si="22">E45/E18</f>
        <v>5.18246517618968</v>
      </c>
      <c r="F53" s="18">
        <f t="shared" si="22"/>
        <v>3.82756402346334</v>
      </c>
      <c r="G53" s="18">
        <f t="shared" si="22"/>
        <v>3.22261596730041</v>
      </c>
      <c r="H53" s="18">
        <f t="shared" si="22"/>
        <v>7.44773047340483</v>
      </c>
      <c r="I53" s="22">
        <f t="shared" si="19"/>
        <v>19.6803756403583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Height="1" spans="1:26">
      <c r="A54" s="1"/>
      <c r="B54" s="1"/>
      <c r="C54" s="1"/>
      <c r="D54" s="4" t="s">
        <v>40</v>
      </c>
      <c r="E54" s="18">
        <f t="shared" ref="E54:H54" si="23">E46/E18</f>
        <v>13.3465495137514</v>
      </c>
      <c r="F54" s="18">
        <f t="shared" si="23"/>
        <v>10.9358972098953</v>
      </c>
      <c r="G54" s="18">
        <f t="shared" si="23"/>
        <v>6.08040748547247</v>
      </c>
      <c r="H54" s="18">
        <f t="shared" si="23"/>
        <v>7.44773047340483</v>
      </c>
      <c r="I54" s="22">
        <f t="shared" si="19"/>
        <v>37.810584682524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Height="1" spans="1:26">
      <c r="A55" s="1"/>
      <c r="B55" s="1"/>
      <c r="C55" s="1"/>
      <c r="D55" s="4" t="s">
        <v>41</v>
      </c>
      <c r="E55" s="18">
        <f t="shared" ref="E55:H55" si="24">E54/E8</f>
        <v>35.1224987203985</v>
      </c>
      <c r="F55" s="18">
        <f t="shared" si="24"/>
        <v>24.8543118406711</v>
      </c>
      <c r="G55" s="18">
        <f t="shared" si="24"/>
        <v>15.2010187136812</v>
      </c>
      <c r="H55" s="18">
        <f t="shared" si="24"/>
        <v>14.8954609468097</v>
      </c>
      <c r="I55" s="22">
        <f t="shared" si="19"/>
        <v>90.0732902215604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Height="1" spans="1:26">
      <c r="A59" s="1"/>
      <c r="B59" s="1"/>
      <c r="C59" s="14" t="s">
        <v>42</v>
      </c>
      <c r="D59" s="3" t="s">
        <v>11</v>
      </c>
      <c r="E59" s="6" t="s">
        <v>65</v>
      </c>
      <c r="F59" s="6" t="s">
        <v>22</v>
      </c>
      <c r="G59" s="6" t="s">
        <v>23</v>
      </c>
      <c r="H59" s="6" t="s">
        <v>24</v>
      </c>
      <c r="I59" s="8" t="s">
        <v>33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Height="1" spans="1:26">
      <c r="A60" s="1"/>
      <c r="B60" s="1"/>
      <c r="C60" s="1"/>
      <c r="D60" s="4" t="s">
        <v>3</v>
      </c>
      <c r="E60" s="15">
        <f>F4*B40</f>
        <v>43333.3333333333</v>
      </c>
      <c r="F60" s="15">
        <f>F4*B41</f>
        <v>32500</v>
      </c>
      <c r="G60" s="15">
        <f>F4*B42</f>
        <v>32500</v>
      </c>
      <c r="H60" s="15">
        <f>F4*B43</f>
        <v>21666.6666666667</v>
      </c>
      <c r="I60" s="20">
        <f t="shared" ref="I60:I64" si="25">SUM(E60:H60)</f>
        <v>130000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Height="1" spans="1:26">
      <c r="A61" s="1"/>
      <c r="B61" s="1"/>
      <c r="C61" s="1"/>
      <c r="D61" s="4" t="s">
        <v>37</v>
      </c>
      <c r="E61" s="15">
        <f t="shared" ref="E61:H61" si="26">E60/E12</f>
        <v>43333.3333333333</v>
      </c>
      <c r="F61" s="15">
        <f t="shared" si="26"/>
        <v>37498.5577477789</v>
      </c>
      <c r="G61" s="15">
        <f t="shared" si="26"/>
        <v>32500</v>
      </c>
      <c r="H61" s="15">
        <f t="shared" si="26"/>
        <v>21666.6666666667</v>
      </c>
      <c r="I61" s="20">
        <f t="shared" si="25"/>
        <v>134998.557747779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Height="1" spans="1:26">
      <c r="A62" s="1"/>
      <c r="B62" s="1"/>
      <c r="C62" s="1"/>
      <c r="D62" s="4" t="s">
        <v>38</v>
      </c>
      <c r="E62" s="15">
        <f t="shared" ref="E62:H62" si="27">E61/E11</f>
        <v>67984.5204476519</v>
      </c>
      <c r="F62" s="15">
        <f t="shared" si="27"/>
        <v>47496.5899275224</v>
      </c>
      <c r="G62" s="15">
        <f t="shared" si="27"/>
        <v>36562.0429744628</v>
      </c>
      <c r="H62" s="15">
        <f t="shared" si="27"/>
        <v>21666.6666666667</v>
      </c>
      <c r="I62" s="20">
        <f t="shared" si="25"/>
        <v>173709.820016304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Height="1" spans="1:26">
      <c r="A63" s="1"/>
      <c r="B63" s="1"/>
      <c r="C63" s="1"/>
      <c r="D63" s="4" t="s">
        <v>39</v>
      </c>
      <c r="E63" s="15">
        <f t="shared" ref="E63:H63" si="28">E62/E10</f>
        <v>183741.947155816</v>
      </c>
      <c r="F63" s="15">
        <f t="shared" si="28"/>
        <v>94993.1798550448</v>
      </c>
      <c r="G63" s="15">
        <f t="shared" si="28"/>
        <v>121873.476581543</v>
      </c>
      <c r="H63" s="15">
        <f t="shared" si="28"/>
        <v>70414.9062940093</v>
      </c>
      <c r="I63" s="20">
        <f t="shared" si="25"/>
        <v>471023.509886413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Height="1" spans="1:26">
      <c r="A64" s="1"/>
      <c r="B64" s="1"/>
      <c r="C64" s="1"/>
      <c r="D64" s="4" t="s">
        <v>40</v>
      </c>
      <c r="E64" s="15">
        <f t="shared" ref="E64:H64" si="29">E63/E9</f>
        <v>473195.846396642</v>
      </c>
      <c r="F64" s="15">
        <f t="shared" si="29"/>
        <v>271409.085300128</v>
      </c>
      <c r="G64" s="15">
        <f t="shared" si="29"/>
        <v>229949.955814232</v>
      </c>
      <c r="H64" s="15">
        <f t="shared" si="29"/>
        <v>70414.9062940093</v>
      </c>
      <c r="I64" s="20">
        <f t="shared" si="25"/>
        <v>1044969.79380501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Height="1" spans="1:26">
      <c r="A67" s="1"/>
      <c r="B67" s="1"/>
      <c r="C67" s="14" t="s">
        <v>36</v>
      </c>
      <c r="D67" s="3" t="s">
        <v>11</v>
      </c>
      <c r="E67" s="6" t="s">
        <v>65</v>
      </c>
      <c r="F67" s="6" t="s">
        <v>22</v>
      </c>
      <c r="G67" s="6" t="s">
        <v>23</v>
      </c>
      <c r="H67" s="6" t="s">
        <v>24</v>
      </c>
      <c r="I67" s="8" t="s">
        <v>33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Height="1" spans="1:26">
      <c r="A68" s="1"/>
      <c r="B68" s="1"/>
      <c r="C68" s="1"/>
      <c r="D68" s="4" t="s">
        <v>3</v>
      </c>
      <c r="E68" s="18">
        <f t="shared" ref="E68:E72" si="30">E60/$E$18</f>
        <v>1.44444444444444</v>
      </c>
      <c r="F68" s="18">
        <f t="shared" ref="F68:F72" si="31">F60/$F$18</f>
        <v>1.54761904761905</v>
      </c>
      <c r="G68" s="18">
        <f t="shared" ref="G68:G72" si="32">G60/$G$18</f>
        <v>1.015625</v>
      </c>
      <c r="H68" s="18">
        <f t="shared" ref="H68:H72" si="33">H60/$H$18</f>
        <v>2.70833333333333</v>
      </c>
      <c r="I68" s="22">
        <f t="shared" ref="I68:I73" si="34">SUM(E68:H68)</f>
        <v>6.71602182539683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Height="1" spans="1:26">
      <c r="A69" s="1"/>
      <c r="B69" s="1"/>
      <c r="C69" s="1"/>
      <c r="D69" s="4" t="s">
        <v>37</v>
      </c>
      <c r="E69" s="18">
        <f t="shared" si="30"/>
        <v>1.44444444444444</v>
      </c>
      <c r="F69" s="18">
        <f t="shared" si="31"/>
        <v>1.78564560703709</v>
      </c>
      <c r="G69" s="18">
        <f t="shared" si="32"/>
        <v>1.015625</v>
      </c>
      <c r="H69" s="18">
        <f t="shared" si="33"/>
        <v>2.70833333333333</v>
      </c>
      <c r="I69" s="22">
        <f t="shared" si="34"/>
        <v>6.95404838481487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Height="1" spans="1:26">
      <c r="A70" s="1"/>
      <c r="B70" s="1"/>
      <c r="C70" s="1"/>
      <c r="D70" s="4" t="s">
        <v>38</v>
      </c>
      <c r="E70" s="18">
        <f t="shared" si="30"/>
        <v>2.2661506815884</v>
      </c>
      <c r="F70" s="18">
        <f t="shared" si="31"/>
        <v>2.26174237750107</v>
      </c>
      <c r="G70" s="18">
        <f t="shared" si="32"/>
        <v>1.14256384295196</v>
      </c>
      <c r="H70" s="18">
        <f t="shared" si="33"/>
        <v>2.70833333333333</v>
      </c>
      <c r="I70" s="22">
        <f t="shared" si="34"/>
        <v>8.37879023537476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Height="1" spans="1:26">
      <c r="A71" s="1"/>
      <c r="B71" s="1"/>
      <c r="C71" s="1"/>
      <c r="D71" s="4" t="s">
        <v>39</v>
      </c>
      <c r="E71" s="18">
        <f t="shared" si="30"/>
        <v>6.12473157186053</v>
      </c>
      <c r="F71" s="18">
        <f t="shared" si="31"/>
        <v>4.52348475500213</v>
      </c>
      <c r="G71" s="18">
        <f t="shared" si="32"/>
        <v>3.80854614317321</v>
      </c>
      <c r="H71" s="18">
        <f t="shared" si="33"/>
        <v>8.80186328675116</v>
      </c>
      <c r="I71" s="22">
        <f t="shared" si="34"/>
        <v>23.258625756787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Height="1" spans="1:26">
      <c r="A72" s="1"/>
      <c r="B72" s="1"/>
      <c r="C72" s="1"/>
      <c r="D72" s="4" t="s">
        <v>40</v>
      </c>
      <c r="E72" s="18">
        <f t="shared" si="30"/>
        <v>15.7731948798881</v>
      </c>
      <c r="F72" s="18">
        <f t="shared" si="31"/>
        <v>12.924242157149</v>
      </c>
      <c r="G72" s="18">
        <f t="shared" si="32"/>
        <v>7.18593611919474</v>
      </c>
      <c r="H72" s="18">
        <f t="shared" si="33"/>
        <v>8.80186328675116</v>
      </c>
      <c r="I72" s="22">
        <f t="shared" si="34"/>
        <v>44.6852364429829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Height="1" spans="1:26">
      <c r="A73" s="1"/>
      <c r="B73" s="1"/>
      <c r="C73" s="1"/>
      <c r="D73" s="4" t="s">
        <v>41</v>
      </c>
      <c r="E73" s="18">
        <f t="shared" ref="E73:H73" si="35">E72/E8</f>
        <v>41.5084075786528</v>
      </c>
      <c r="F73" s="18">
        <f t="shared" si="35"/>
        <v>29.373277629884</v>
      </c>
      <c r="G73" s="18">
        <f t="shared" si="35"/>
        <v>17.9648402979868</v>
      </c>
      <c r="H73" s="18">
        <f t="shared" si="35"/>
        <v>17.6037265735023</v>
      </c>
      <c r="I73" s="22">
        <f t="shared" si="34"/>
        <v>106.450252080026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Height="1" spans="1:26">
      <c r="A76" s="1"/>
      <c r="B76" s="1"/>
      <c r="C76" s="14" t="s">
        <v>42</v>
      </c>
      <c r="D76" s="3" t="s">
        <v>12</v>
      </c>
      <c r="E76" s="6" t="s">
        <v>65</v>
      </c>
      <c r="F76" s="6" t="s">
        <v>22</v>
      </c>
      <c r="G76" s="6" t="s">
        <v>23</v>
      </c>
      <c r="H76" s="6" t="s">
        <v>24</v>
      </c>
      <c r="I76" s="8" t="s">
        <v>33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Height="1" spans="1:26">
      <c r="A77" s="1"/>
      <c r="B77" s="1"/>
      <c r="C77" s="1"/>
      <c r="D77" s="4" t="s">
        <v>3</v>
      </c>
      <c r="E77" s="15">
        <f>G4*B40</f>
        <v>53333.3333333333</v>
      </c>
      <c r="F77" s="15">
        <f>G4*B41</f>
        <v>40000</v>
      </c>
      <c r="G77" s="15">
        <f>G4*B42</f>
        <v>40000</v>
      </c>
      <c r="H77" s="15">
        <f>G4*B43</f>
        <v>26666.6666666667</v>
      </c>
      <c r="I77" s="20">
        <f t="shared" ref="I77:I81" si="36">SUM(E77:H77)</f>
        <v>160000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Height="1" spans="1:26">
      <c r="A78" s="1"/>
      <c r="B78" s="1"/>
      <c r="C78" s="1"/>
      <c r="D78" s="4" t="s">
        <v>37</v>
      </c>
      <c r="E78" s="15">
        <f t="shared" ref="E78:H78" si="37">E77/E12</f>
        <v>53333.3333333333</v>
      </c>
      <c r="F78" s="15">
        <f t="shared" si="37"/>
        <v>46152.0710741895</v>
      </c>
      <c r="G78" s="15">
        <f t="shared" si="37"/>
        <v>40000</v>
      </c>
      <c r="H78" s="15">
        <f t="shared" si="37"/>
        <v>26666.6666666667</v>
      </c>
      <c r="I78" s="20">
        <f t="shared" si="36"/>
        <v>166152.071074189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Height="1" spans="1:26">
      <c r="A79" s="1"/>
      <c r="B79" s="1"/>
      <c r="C79" s="1"/>
      <c r="D79" s="4" t="s">
        <v>38</v>
      </c>
      <c r="E79" s="15">
        <f t="shared" ref="E79:H79" si="38">E78/E11</f>
        <v>83673.2559355716</v>
      </c>
      <c r="F79" s="15">
        <f t="shared" si="38"/>
        <v>58457.3414492583</v>
      </c>
      <c r="G79" s="15">
        <f t="shared" si="38"/>
        <v>44999.4375070312</v>
      </c>
      <c r="H79" s="15">
        <f t="shared" si="38"/>
        <v>26666.6666666667</v>
      </c>
      <c r="I79" s="20">
        <f t="shared" si="36"/>
        <v>213796.701558528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Height="1" spans="1:26">
      <c r="A80" s="1"/>
      <c r="B80" s="1"/>
      <c r="C80" s="1"/>
      <c r="D80" s="4" t="s">
        <v>39</v>
      </c>
      <c r="E80" s="15">
        <f t="shared" ref="E80:H80" si="39">E79/E10</f>
        <v>226143.934961004</v>
      </c>
      <c r="F80" s="15">
        <f t="shared" si="39"/>
        <v>116914.682898517</v>
      </c>
      <c r="G80" s="15">
        <f t="shared" si="39"/>
        <v>149998.125023437</v>
      </c>
      <c r="H80" s="15">
        <f t="shared" si="39"/>
        <v>86664.5000541653</v>
      </c>
      <c r="I80" s="20">
        <f t="shared" si="36"/>
        <v>579721.242937123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Height="1" spans="1:26">
      <c r="A81" s="1"/>
      <c r="B81" s="1"/>
      <c r="C81" s="1"/>
      <c r="D81" s="4" t="s">
        <v>40</v>
      </c>
      <c r="E81" s="15">
        <f t="shared" ref="E81:H81" si="40">E80/E9</f>
        <v>582394.88787279</v>
      </c>
      <c r="F81" s="15">
        <f t="shared" si="40"/>
        <v>334041.951138619</v>
      </c>
      <c r="G81" s="15">
        <f t="shared" si="40"/>
        <v>283015.3302329</v>
      </c>
      <c r="H81" s="15">
        <f t="shared" si="40"/>
        <v>86664.5000541653</v>
      </c>
      <c r="I81" s="20">
        <f t="shared" si="36"/>
        <v>1286116.66929847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Height="1" spans="1:26">
      <c r="A84" s="1"/>
      <c r="B84" s="1"/>
      <c r="C84" s="14" t="s">
        <v>36</v>
      </c>
      <c r="D84" s="3" t="s">
        <v>12</v>
      </c>
      <c r="E84" s="6" t="s">
        <v>65</v>
      </c>
      <c r="F84" s="6" t="s">
        <v>22</v>
      </c>
      <c r="G84" s="6" t="s">
        <v>23</v>
      </c>
      <c r="H84" s="6" t="s">
        <v>24</v>
      </c>
      <c r="I84" s="8" t="s">
        <v>33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Height="1" spans="1:26">
      <c r="A85" s="1"/>
      <c r="B85" s="1"/>
      <c r="C85" s="1"/>
      <c r="D85" s="4" t="s">
        <v>3</v>
      </c>
      <c r="E85" s="18">
        <f t="shared" ref="E85:E89" si="41">E77/$E$18</f>
        <v>1.77777777777778</v>
      </c>
      <c r="F85" s="18">
        <f t="shared" ref="F85:F89" si="42">F77/$F$18</f>
        <v>1.9047619047619</v>
      </c>
      <c r="G85" s="18">
        <f t="shared" ref="G85:G89" si="43">G77/$G$18</f>
        <v>1.25</v>
      </c>
      <c r="H85" s="18">
        <f t="shared" ref="H85:H89" si="44">H77/$H$18</f>
        <v>3.33333333333333</v>
      </c>
      <c r="I85" s="22">
        <f t="shared" ref="I85:I90" si="45">SUM(E85:H85)</f>
        <v>8.26587301587302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Height="1" spans="1:26">
      <c r="A86" s="1"/>
      <c r="B86" s="1"/>
      <c r="C86" s="1"/>
      <c r="D86" s="4" t="s">
        <v>37</v>
      </c>
      <c r="E86" s="18">
        <f t="shared" si="41"/>
        <v>1.77777777777778</v>
      </c>
      <c r="F86" s="18">
        <f t="shared" si="42"/>
        <v>2.1977176701995</v>
      </c>
      <c r="G86" s="18">
        <f t="shared" si="43"/>
        <v>1.25</v>
      </c>
      <c r="H86" s="18">
        <f t="shared" si="44"/>
        <v>3.33333333333333</v>
      </c>
      <c r="I86" s="22">
        <f t="shared" si="45"/>
        <v>8.55882878131061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Height="1" spans="1:26">
      <c r="A87" s="1"/>
      <c r="B87" s="1"/>
      <c r="C87" s="1"/>
      <c r="D87" s="4" t="s">
        <v>38</v>
      </c>
      <c r="E87" s="18">
        <f t="shared" si="41"/>
        <v>2.78910853118572</v>
      </c>
      <c r="F87" s="18">
        <f t="shared" si="42"/>
        <v>2.78368292615516</v>
      </c>
      <c r="G87" s="18">
        <f t="shared" si="43"/>
        <v>1.40623242209472</v>
      </c>
      <c r="H87" s="18">
        <f t="shared" si="44"/>
        <v>3.33333333333333</v>
      </c>
      <c r="I87" s="22">
        <f t="shared" si="45"/>
        <v>10.3123572127689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Height="1" spans="1:26">
      <c r="A88" s="1"/>
      <c r="B88" s="1"/>
      <c r="C88" s="1"/>
      <c r="D88" s="4" t="s">
        <v>39</v>
      </c>
      <c r="E88" s="18">
        <f t="shared" si="41"/>
        <v>7.53813116536681</v>
      </c>
      <c r="F88" s="18">
        <f t="shared" si="42"/>
        <v>5.56736585231032</v>
      </c>
      <c r="G88" s="18">
        <f t="shared" si="43"/>
        <v>4.68744140698241</v>
      </c>
      <c r="H88" s="18">
        <f t="shared" si="44"/>
        <v>10.8330625067707</v>
      </c>
      <c r="I88" s="22">
        <f t="shared" si="45"/>
        <v>28.6260009314302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Height="1" spans="1:26">
      <c r="A89" s="1"/>
      <c r="B89" s="1"/>
      <c r="C89" s="1"/>
      <c r="D89" s="4" t="s">
        <v>40</v>
      </c>
      <c r="E89" s="18">
        <f t="shared" si="41"/>
        <v>19.413162929093</v>
      </c>
      <c r="F89" s="18">
        <f t="shared" si="42"/>
        <v>15.9067595780295</v>
      </c>
      <c r="G89" s="18">
        <f t="shared" si="43"/>
        <v>8.84422906977814</v>
      </c>
      <c r="H89" s="18">
        <f t="shared" si="44"/>
        <v>10.8330625067707</v>
      </c>
      <c r="I89" s="22">
        <f t="shared" si="45"/>
        <v>54.9972140836713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Height="1" spans="1:26">
      <c r="A90" s="1"/>
      <c r="B90" s="1"/>
      <c r="C90" s="1"/>
      <c r="D90" s="4" t="s">
        <v>41</v>
      </c>
      <c r="E90" s="18">
        <f t="shared" ref="E90:H90" si="46">E89/E8</f>
        <v>51.0872708660342</v>
      </c>
      <c r="F90" s="18">
        <f t="shared" si="46"/>
        <v>36.1517263137034</v>
      </c>
      <c r="G90" s="18">
        <f t="shared" si="46"/>
        <v>22.1105726744453</v>
      </c>
      <c r="H90" s="18">
        <f t="shared" si="46"/>
        <v>21.6661250135413</v>
      </c>
      <c r="I90" s="22">
        <f t="shared" si="45"/>
        <v>131.015694867724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Height="1" spans="1:26">
      <c r="A93" s="1"/>
      <c r="B93" s="1"/>
      <c r="C93" s="14" t="s">
        <v>42</v>
      </c>
      <c r="D93" s="3" t="s">
        <v>13</v>
      </c>
      <c r="E93" s="6" t="s">
        <v>65</v>
      </c>
      <c r="F93" s="6" t="s">
        <v>22</v>
      </c>
      <c r="G93" s="6" t="s">
        <v>23</v>
      </c>
      <c r="H93" s="6" t="s">
        <v>24</v>
      </c>
      <c r="I93" s="8" t="s">
        <v>33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Height="1" spans="1:26">
      <c r="A94" s="1"/>
      <c r="B94" s="1"/>
      <c r="C94" s="1"/>
      <c r="D94" s="4" t="s">
        <v>3</v>
      </c>
      <c r="E94" s="15">
        <f>H4*B40</f>
        <v>66666.6666666667</v>
      </c>
      <c r="F94" s="15">
        <f>H4*B41</f>
        <v>50000</v>
      </c>
      <c r="G94" s="15">
        <f>H4*B42</f>
        <v>50000</v>
      </c>
      <c r="H94" s="15">
        <f>H4*B43</f>
        <v>33333.3333333333</v>
      </c>
      <c r="I94" s="20">
        <f t="shared" ref="I94:I98" si="47">SUM(E94:H94)</f>
        <v>200000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Height="1" spans="1:26">
      <c r="A95" s="1"/>
      <c r="B95" s="1"/>
      <c r="C95" s="1"/>
      <c r="D95" s="4" t="s">
        <v>37</v>
      </c>
      <c r="E95" s="15">
        <f t="shared" ref="E95:H95" si="48">E94/E12</f>
        <v>66666.6666666667</v>
      </c>
      <c r="F95" s="15">
        <f t="shared" si="48"/>
        <v>57690.0888427368</v>
      </c>
      <c r="G95" s="15">
        <f t="shared" si="48"/>
        <v>50000</v>
      </c>
      <c r="H95" s="15">
        <f t="shared" si="48"/>
        <v>33333.3333333333</v>
      </c>
      <c r="I95" s="20">
        <f t="shared" si="47"/>
        <v>207690.088842737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Height="1" spans="1:26">
      <c r="A96" s="1"/>
      <c r="B96" s="1"/>
      <c r="C96" s="1"/>
      <c r="D96" s="4" t="s">
        <v>38</v>
      </c>
      <c r="E96" s="15">
        <f t="shared" ref="E96:H96" si="49">E95/E11</f>
        <v>104591.569919464</v>
      </c>
      <c r="F96" s="15">
        <f t="shared" si="49"/>
        <v>73071.6768115729</v>
      </c>
      <c r="G96" s="15">
        <f t="shared" si="49"/>
        <v>56249.2968837889</v>
      </c>
      <c r="H96" s="15">
        <f t="shared" si="49"/>
        <v>33333.3333333333</v>
      </c>
      <c r="I96" s="20">
        <f t="shared" si="47"/>
        <v>267245.87694816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Height="1" spans="1:26">
      <c r="A97" s="1"/>
      <c r="B97" s="1"/>
      <c r="C97" s="1"/>
      <c r="D97" s="4" t="s">
        <v>39</v>
      </c>
      <c r="E97" s="15">
        <f t="shared" ref="E97:H97" si="50">E96/E10</f>
        <v>282679.918701255</v>
      </c>
      <c r="F97" s="15">
        <f t="shared" si="50"/>
        <v>146143.353623146</v>
      </c>
      <c r="G97" s="15">
        <f t="shared" si="50"/>
        <v>187497.656279296</v>
      </c>
      <c r="H97" s="15">
        <f t="shared" si="50"/>
        <v>108330.625067707</v>
      </c>
      <c r="I97" s="20">
        <f t="shared" si="47"/>
        <v>724651.553671404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Height="1" spans="1:26">
      <c r="A98" s="1"/>
      <c r="B98" s="1"/>
      <c r="C98" s="1"/>
      <c r="D98" s="4" t="s">
        <v>40</v>
      </c>
      <c r="E98" s="15">
        <f t="shared" ref="E98:H98" si="51">E97/E9</f>
        <v>727993.609840987</v>
      </c>
      <c r="F98" s="15">
        <f t="shared" si="51"/>
        <v>417552.438923274</v>
      </c>
      <c r="G98" s="15">
        <f t="shared" si="51"/>
        <v>353769.162791125</v>
      </c>
      <c r="H98" s="15">
        <f t="shared" si="51"/>
        <v>108330.625067707</v>
      </c>
      <c r="I98" s="20">
        <f t="shared" si="47"/>
        <v>1607645.83662309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Height="1" spans="1:26">
      <c r="A101" s="1"/>
      <c r="B101" s="1"/>
      <c r="C101" s="14" t="s">
        <v>36</v>
      </c>
      <c r="D101" s="3" t="s">
        <v>13</v>
      </c>
      <c r="E101" s="6" t="s">
        <v>65</v>
      </c>
      <c r="F101" s="6" t="s">
        <v>22</v>
      </c>
      <c r="G101" s="6" t="s">
        <v>23</v>
      </c>
      <c r="H101" s="6" t="s">
        <v>24</v>
      </c>
      <c r="I101" s="8" t="s">
        <v>33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Height="1" spans="1:26">
      <c r="A102" s="1"/>
      <c r="B102" s="1"/>
      <c r="C102" s="1"/>
      <c r="D102" s="4" t="s">
        <v>3</v>
      </c>
      <c r="E102" s="18">
        <f t="shared" ref="E102:E106" si="52">E94/$E$18</f>
        <v>2.22222222222222</v>
      </c>
      <c r="F102" s="18">
        <f t="shared" ref="F102:F106" si="53">F94/$F$18</f>
        <v>2.38095238095238</v>
      </c>
      <c r="G102" s="18">
        <f t="shared" ref="G102:G106" si="54">G94/$G$18</f>
        <v>1.5625</v>
      </c>
      <c r="H102" s="18">
        <f t="shared" ref="H102:H106" si="55">H94/$H$18</f>
        <v>4.16666666666667</v>
      </c>
      <c r="I102" s="22">
        <f t="shared" ref="I102:I107" si="56">SUM(E102:H102)</f>
        <v>10.3323412698413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Height="1" spans="1:26">
      <c r="A103" s="1"/>
      <c r="B103" s="1"/>
      <c r="C103" s="1"/>
      <c r="D103" s="4" t="s">
        <v>37</v>
      </c>
      <c r="E103" s="18">
        <f t="shared" si="52"/>
        <v>2.22222222222222</v>
      </c>
      <c r="F103" s="18">
        <f t="shared" si="53"/>
        <v>2.74714708774937</v>
      </c>
      <c r="G103" s="18">
        <f t="shared" si="54"/>
        <v>1.5625</v>
      </c>
      <c r="H103" s="18">
        <f t="shared" si="55"/>
        <v>4.16666666666667</v>
      </c>
      <c r="I103" s="22">
        <f t="shared" si="56"/>
        <v>10.6985359766383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Height="1" spans="1:26">
      <c r="A104" s="1"/>
      <c r="B104" s="1"/>
      <c r="C104" s="1"/>
      <c r="D104" s="4" t="s">
        <v>38</v>
      </c>
      <c r="E104" s="18">
        <f t="shared" si="52"/>
        <v>3.48638566398215</v>
      </c>
      <c r="F104" s="18">
        <f t="shared" si="53"/>
        <v>3.47960365769395</v>
      </c>
      <c r="G104" s="18">
        <f t="shared" si="54"/>
        <v>1.7577905276184</v>
      </c>
      <c r="H104" s="18">
        <f t="shared" si="55"/>
        <v>4.16666666666667</v>
      </c>
      <c r="I104" s="22">
        <f t="shared" si="56"/>
        <v>12.8904465159612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Height="1" spans="1:26">
      <c r="A105" s="1"/>
      <c r="B105" s="1"/>
      <c r="C105" s="1"/>
      <c r="D105" s="4" t="s">
        <v>39</v>
      </c>
      <c r="E105" s="18">
        <f t="shared" si="52"/>
        <v>9.42266395670851</v>
      </c>
      <c r="F105" s="18">
        <f t="shared" si="53"/>
        <v>6.9592073153879</v>
      </c>
      <c r="G105" s="18">
        <f t="shared" si="54"/>
        <v>5.85930175872802</v>
      </c>
      <c r="H105" s="18">
        <f t="shared" si="55"/>
        <v>13.5413281334633</v>
      </c>
      <c r="I105" s="22">
        <f t="shared" si="56"/>
        <v>35.7825011642878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Height="1" spans="1:26">
      <c r="A106" s="1"/>
      <c r="B106" s="1"/>
      <c r="C106" s="1"/>
      <c r="D106" s="4" t="s">
        <v>40</v>
      </c>
      <c r="E106" s="18">
        <f t="shared" si="52"/>
        <v>24.2664536613662</v>
      </c>
      <c r="F106" s="18">
        <f t="shared" si="53"/>
        <v>19.8834494725369</v>
      </c>
      <c r="G106" s="18">
        <f t="shared" si="54"/>
        <v>11.0552863372227</v>
      </c>
      <c r="H106" s="18">
        <f t="shared" si="55"/>
        <v>13.5413281334633</v>
      </c>
      <c r="I106" s="22">
        <f t="shared" si="56"/>
        <v>68.7465176045891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Height="1" spans="1:26">
      <c r="A107" s="1"/>
      <c r="B107" s="1"/>
      <c r="C107" s="1"/>
      <c r="D107" s="4" t="s">
        <v>41</v>
      </c>
      <c r="E107" s="18">
        <f t="shared" ref="E107:H107" si="57">E106/E8</f>
        <v>63.8590885825427</v>
      </c>
      <c r="F107" s="18">
        <f t="shared" si="57"/>
        <v>45.1896578921292</v>
      </c>
      <c r="G107" s="18">
        <f t="shared" si="57"/>
        <v>27.6382158430567</v>
      </c>
      <c r="H107" s="18">
        <f t="shared" si="57"/>
        <v>27.0826562669267</v>
      </c>
      <c r="I107" s="22">
        <f t="shared" si="56"/>
        <v>163.769618584655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Height="1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customHeight="1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customHeight="1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3">
    <mergeCell ref="D1:I1"/>
    <mergeCell ref="D14:I14"/>
    <mergeCell ref="D39:I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Disprz</vt:lpstr>
      <vt:lpstr>IND</vt:lpstr>
      <vt:lpstr>SEA</vt:lpstr>
      <vt:lpstr>KSA</vt:lpstr>
      <vt:lpstr>KSA - Old AOP</vt:lpstr>
      <vt:lpstr>RoME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</cp:lastModifiedBy>
  <dcterms:created xsi:type="dcterms:W3CDTF">2025-10-06T23:47:37Z</dcterms:created>
  <dcterms:modified xsi:type="dcterms:W3CDTF">2025-10-06T23:47:40Z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4D14811E043A3136C407E4684BCDCBDF_42</vt:lpwstr>
  </property>
  <property fmtid="{D5CDD505-2E9C-101B-9397-08002B2CF9AE}" pid="3" name="KSOProductBuildVer">
    <vt:lpwstr>1033-12.1.23135.23135</vt:lpwstr>
  </property>
</Properties>
</file>